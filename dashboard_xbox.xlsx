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HHO\"/>
    </mc:Choice>
  </mc:AlternateContent>
  <xr:revisionPtr revIDLastSave="0" documentId="13_ncr:1_{E66B1243-FE7C-4D0B-B5D7-F94A5840B07B}" xr6:coauthVersionLast="47" xr6:coauthVersionMax="47" xr10:uidLastSave="{00000000-0000-0000-0000-000000000000}"/>
  <bookViews>
    <workbookView xWindow="-120" yWindow="-120" windowWidth="29040" windowHeight="15840" tabRatio="143" xr2:uid="{00000000-000D-0000-FFFF-FFFF00000000}"/>
  </bookViews>
  <sheets>
    <sheet name="Dashboard" sheetId="1" r:id="rId1"/>
    <sheet name="Calculos" sheetId="2" state="hidden" r:id="rId2"/>
    <sheet name="Bases" sheetId="3" r:id="rId3"/>
  </sheets>
  <definedNames>
    <definedName name="SegmentaçãodeDados_Subscription_Type">#N/A</definedName>
  </definedNames>
  <calcPr calcId="191029"/>
  <pivotCaches>
    <pivotCache cacheId="2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G5" i="1"/>
  <c r="K11" i="1"/>
  <c r="G11" i="1"/>
  <c r="C11" i="1"/>
  <c r="C5" i="1"/>
</calcChain>
</file>

<file path=xl/sharedStrings.xml><?xml version="1.0" encoding="utf-8"?>
<sst xmlns="http://schemas.openxmlformats.org/spreadsheetml/2006/main" count="2051" uniqueCount="346">
  <si>
    <t>XBOX GAME PASS — SUBSCRIPTIONS SALES</t>
  </si>
  <si>
    <t>FATURAMENTO TOTAL</t>
  </si>
  <si>
    <t>EA PLAY SEASON PASS</t>
  </si>
  <si>
    <t>MINECRAFT SEASON PASS</t>
  </si>
  <si>
    <t>ASSINANTES</t>
  </si>
  <si>
    <t>TICKET MÉDIO POR ASSINANTE</t>
  </si>
  <si>
    <t>CUPONS CONCEDIDOS</t>
  </si>
  <si>
    <t>TIPO DE ASSINATURA</t>
  </si>
  <si>
    <t>FATURAMENTO POR RENOVAÇÃO AUTOMÁTICA</t>
  </si>
  <si>
    <t>FATURAMENTO POR PLANO</t>
  </si>
  <si>
    <t>Período: 01/01/2024 – 16/12/2024</t>
  </si>
  <si>
    <t>Fonte: aba Bases (295 assinantes)</t>
  </si>
  <si>
    <t>FATURAMENTO POR TIPO DE ASSINATURA (GERAL)</t>
  </si>
  <si>
    <t>FATURAMENTO POR MÊS DE INÍCIO</t>
  </si>
  <si>
    <t>Gráficos "por renovação", "por plano" e "por mês" respondem ao filtro de Tipo de Assinatura; o gráfico de rosca mostra sempre o total geral. Dezembro é parcial (dados até 16/12).</t>
  </si>
  <si>
    <t>Auto Renewal</t>
  </si>
  <si>
    <t>Assinantes</t>
  </si>
  <si>
    <t>Core</t>
  </si>
  <si>
    <t>Standard</t>
  </si>
  <si>
    <t>Ultimate</t>
  </si>
  <si>
    <t>Monthly</t>
  </si>
  <si>
    <t>Quarterly</t>
  </si>
  <si>
    <t>Annual</t>
  </si>
  <si>
    <t>Subscriber ID</t>
  </si>
  <si>
    <t>Name</t>
  </si>
  <si>
    <t>Plan</t>
  </si>
  <si>
    <t>Start Date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</si>
  <si>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</si>
  <si>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</si>
  <si>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</si>
  <si>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</si>
  <si>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</si>
  <si>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</si>
  <si>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</si>
  <si>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</si>
  <si>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</si>
  <si>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Yes</t>
  </si>
  <si>
    <t>Maria Oliveira</t>
  </si>
  <si>
    <t>No</t>
  </si>
  <si>
    <t>-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</si>
  <si>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</si>
  <si>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</si>
  <si>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</si>
  <si>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</si>
  <si>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</si>
  <si>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</si>
  <si>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</si>
  <si>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</si>
  <si>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</si>
  <si>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</si>
  <si>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</si>
  <si>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</si>
  <si>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</si>
  <si>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</si>
  <si>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</si>
  <si>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</si>
  <si>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</si>
  <si>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</si>
  <si>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</si>
  <si>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</si>
  <si>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</si>
  <si>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</si>
  <si>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</si>
  <si>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</si>
  <si>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</si>
  <si>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</si>
  <si>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</si>
  <si>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</si>
  <si>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</si>
  <si>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</si>
  <si>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</si>
  <si>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</si>
  <si>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</si>
  <si>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</si>
  <si>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</si>
  <si>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</si>
  <si>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</si>
  <si>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</si>
  <si>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</si>
  <si>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</si>
  <si>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</si>
  <si>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</si>
  <si>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</si>
  <si>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</si>
  <si>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</si>
  <si>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</si>
  <si>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</si>
  <si>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</si>
  <si>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</si>
  <si>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</si>
  <si>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</si>
  <si>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</si>
  <si>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</si>
  <si>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</si>
  <si>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</si>
  <si>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</si>
  <si>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</si>
  <si>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</si>
  <si>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</si>
  <si>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</si>
  <si>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</si>
  <si>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</si>
  <si>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</si>
  <si>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</si>
  <si>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</si>
  <si>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</si>
  <si>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</si>
  <si>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</si>
  <si>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</si>
  <si>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</si>
  <si>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</si>
  <si>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</si>
  <si>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</si>
  <si>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</si>
  <si>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</si>
  <si>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</si>
  <si>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</si>
  <si>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</si>
  <si>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</si>
  <si>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</si>
  <si>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</si>
  <si>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</si>
  <si>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</si>
  <si>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</si>
  <si>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</si>
  <si>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</si>
  <si>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</si>
  <si>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</si>
  <si>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</si>
  <si>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</si>
  <si>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</si>
  <si>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</si>
  <si>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</si>
  <si>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</si>
  <si>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</si>
  <si>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</si>
  <si>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</si>
  <si>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</si>
  <si>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</si>
  <si>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</si>
  <si>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</si>
  <si>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</si>
  <si>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</si>
  <si>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</si>
  <si>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</si>
  <si>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</si>
  <si>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</si>
  <si>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</si>
  <si>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</si>
  <si>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</si>
  <si>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</si>
  <si>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</si>
  <si>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</si>
  <si>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</si>
  <si>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</si>
  <si>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</si>
  <si>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</si>
  <si>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</si>
  <si>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</si>
  <si>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</si>
  <si>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</si>
  <si>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</si>
  <si>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</si>
  <si>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</si>
  <si>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</si>
  <si>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</si>
  <si>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</si>
  <si>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</si>
  <si>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</si>
  <si>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</si>
  <si>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</si>
  <si>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</si>
  <si>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</si>
  <si>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</si>
  <si>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</si>
  <si>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</si>
  <si>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</si>
  <si>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</si>
  <si>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</si>
  <si>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</si>
  <si>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</si>
  <si>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</si>
  <si>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</si>
  <si>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</si>
  <si>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</si>
  <si>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</si>
  <si>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</si>
  <si>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</si>
  <si>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</si>
  <si>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</si>
  <si>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</si>
  <si>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</si>
  <si>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</si>
  <si>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</si>
  <si>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</si>
  <si>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</si>
  <si>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</si>
  <si>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</si>
  <si>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</si>
  <si>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</si>
  <si>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</si>
  <si>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</si>
  <si>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</si>
  <si>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</si>
  <si>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</si>
  <si>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</si>
  <si>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</si>
  <si>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</si>
  <si>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</si>
  <si>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</si>
  <si>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</si>
  <si>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</si>
  <si>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</si>
  <si>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</si>
  <si>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</si>
  <si>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</si>
  <si>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</si>
  <si>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</si>
  <si>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</si>
  <si>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</si>
  <si>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</si>
  <si>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</si>
  <si>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</si>
  <si>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</si>
  <si>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</si>
  <si>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</si>
  <si>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</si>
  <si>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</si>
  <si>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</si>
  <si>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</si>
  <si>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</si>
  <si>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</si>
  <si>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</si>
  <si>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</si>
  <si>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</si>
  <si>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</si>
  <si>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</si>
  <si>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</si>
  <si>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</si>
  <si>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</si>
  <si>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</si>
  <si>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</si>
  <si>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</si>
  <si>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</si>
  <si>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</si>
  <si>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</si>
  <si>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</si>
  <si>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</si>
  <si>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</si>
  <si>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</si>
  <si>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</si>
  <si>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</si>
  <si>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</si>
  <si>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</si>
  <si>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</si>
  <si>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</si>
  <si>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</si>
  <si>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</si>
  <si>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</si>
  <si>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</si>
  <si>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</si>
  <si>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</si>
  <si>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</si>
  <si>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</si>
  <si>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</si>
  <si>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</si>
  <si>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</si>
  <si>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</si>
  <si>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</si>
  <si>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</si>
  <si>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</si>
  <si>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</si>
  <si>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</si>
  <si>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</si>
  <si>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</si>
  <si>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</si>
  <si>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</si>
  <si>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</si>
  <si>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</si>
  <si>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</si>
  <si>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</si>
  <si>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</si>
  <si>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</si>
  <si>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</si>
  <si>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</si>
  <si>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</si>
  <si>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</si>
  <si>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</si>
  <si>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</si>
  <si>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</si>
  <si>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</si>
  <si>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</si>
  <si>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</si>
  <si>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</si>
  <si>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</si>
  <si>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</si>
  <si>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</si>
  <si>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</si>
  <si>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</si>
  <si>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</si>
  <si>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</si>
  <si>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</si>
  <si>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</si>
  <si>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</si>
  <si>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</si>
  <si>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</si>
  <si>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</si>
  <si>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</si>
  <si>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</si>
  <si>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</si>
  <si>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</si>
  <si>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</si>
  <si>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</si>
  <si>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</si>
  <si>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</si>
  <si>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</si>
  <si>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</si>
  <si>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</si>
  <si>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</si>
  <si>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Valores</t>
  </si>
  <si>
    <t>Ticket médio</t>
  </si>
  <si>
    <t>Faturamento total</t>
  </si>
  <si>
    <t>Cupons</t>
  </si>
  <si>
    <t>1. resumo total</t>
  </si>
  <si>
    <t>Rótulos de Linha</t>
  </si>
  <si>
    <t>Total Geral</t>
  </si>
  <si>
    <t>Soma de EA Play Season Pass</t>
  </si>
  <si>
    <t>2. total EA</t>
  </si>
  <si>
    <t>3. total Minecraft</t>
  </si>
  <si>
    <t>Soma de Minecraft Season Pass Price</t>
  </si>
  <si>
    <t>4. FATURAMENTO POR RENOVAÇÃO AUTOMÁTICA</t>
  </si>
  <si>
    <t>5. tabela e gráfico por plano</t>
  </si>
  <si>
    <t>6. tipo de assinatura por mês</t>
  </si>
  <si>
    <t>6. por mês de inicio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</si>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</sst>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R\$\ #,##0.00"/>
    <numFmt numFmtId="165" formatCode="&quot;R$&quot;\ #,##0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22"/>
      <color rgb="FF22C55E"/>
      <name val="Calibri"/>
      <family val="2"/>
    </font>
    <font>
      <b/>
      <sz val="12"/>
      <color rgb="FFFFFFFF"/>
      <name val="Calibri"/>
      <family val="2"/>
    </font>
    <font>
      <i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24"/>
      <color rgb="FF22C55E"/>
      <name val="Calibri"/>
      <family val="2"/>
    </font>
    <font>
      <b/>
      <sz val="20"/>
      <color rgb="FF22C55E"/>
      <name val="Calibri"/>
      <family val="2"/>
    </font>
    <font>
      <i/>
      <sz val="9"/>
      <color rgb="FF6B72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2C55E"/>
      </patternFill>
    </fill>
    <fill>
      <patternFill patternType="solid">
        <fgColor rgb="FFFFFFFF"/>
      </patternFill>
    </fill>
    <fill>
      <patternFill patternType="solid">
        <fgColor rgb="FFE8E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 indent="7"/>
    </xf>
    <xf numFmtId="0" fontId="0" fillId="4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4" borderId="0" xfId="0" applyFont="1" applyFill="1"/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6" fillId="3" borderId="0" xfId="0" applyNumberFormat="1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166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1"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font>
        <b/>
        <i val="0"/>
      </font>
    </dxf>
    <dxf>
      <fill>
        <patternFill>
          <bgColor rgb="FF22C55E"/>
        </patternFill>
      </fill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fill>
        <patternFill>
          <bgColor rgb="FF22C55E"/>
        </patternFill>
      </fill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</dxfs>
  <tableStyles count="2" defaultTableStyle="TableStyleMedium9" defaultPivotStyle="PivotStyleLight16">
    <tableStyle name="Estilo de Segmentação de Dados 1" pivot="0" table="0" count="3" xr9:uid="{3FFD5B83-D117-4B02-B7C2-532355A66658}">
      <tableStyleElement type="wholeTable" dxfId="41"/>
    </tableStyle>
    <tableStyle name="xbox" pivot="0" table="0" count="6" xr9:uid="{25EF9F96-3124-4144-8678-4F0D4148C75C}">
      <tableStyleElement type="wholeTable" dxfId="14"/>
      <tableStyleElement type="headerRow" dxfId="13"/>
    </tableStyle>
  </tableStyles>
  <colors>
    <mruColors>
      <color rgb="FFE0E0E0"/>
      <color rgb="FF22C55E"/>
      <color rgb="FF828282"/>
      <color rgb="FFCCCCCC"/>
      <color rgb="FFBBF7D0"/>
      <color rgb="FF999999"/>
      <color rgb="FF2AE6B1"/>
      <color rgb="FF9BC848"/>
    </mruColors>
  </colors>
  <extLst>
    <ext xmlns:x14="http://schemas.microsoft.com/office/spreadsheetml/2009/9/main" uri="{46F421CA-312F-682f-3DD2-61675219B42D}">
      <x14:dxfs count="15">
        <dxf>
          <font>
            <color rgb="FF828282"/>
          </font>
          <fill>
            <patternFill>
              <bgColor rgb="FFBBF7D0"/>
            </patternFill>
          </fill>
        </dxf>
        <dxf>
          <font>
            <b/>
            <i val="0"/>
          </font>
          <fill>
            <patternFill>
              <bgColor rgb="FFBBF7D0"/>
            </patternFill>
          </fill>
        </dxf>
        <dxf>
          <font>
            <color rgb="FF828282"/>
          </font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color rgb="FF828282"/>
          </font>
          <fill>
            <patternFill>
              <bgColor rgb="FFBBF7D0"/>
            </patternFill>
          </fill>
        </dxf>
        <dxf>
          <fill>
            <patternFill>
              <bgColor rgb="FFBBF7D0"/>
            </patternFill>
          </fill>
        </dxf>
        <dxf>
          <font>
            <color rgb="FF828282"/>
          </font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color rgb="FF828282"/>
          </font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color rgb="FF828282"/>
          </font>
          <fill>
            <patternFill>
              <bgColor rgb="FFBBF7D0"/>
            </patternFill>
          </fill>
        </dxf>
        <dxf>
          <fill>
            <patternFill>
              <bgColor rgb="FFBBF7D0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3"/>
            <x14:slicerStyleElement type="selectedItemWithNoData" dxfId="12"/>
          </x14:slicerStyleElements>
        </x14:slicerStyle>
        <x14:slicerStyle name="xbox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[meu_dashboard_xbox.xlsx]Calculos!Tabela dinâmica5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750910746812383E-2"/>
          <c:y val="4.7323864269601716E-2"/>
          <c:w val="0.82582559198542804"/>
          <c:h val="0.90535227146079655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Calculos!$C$28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Calculos!$B$29:$B$31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Calculos!$C$29:$C$31</c:f>
              <c:numCache>
                <c:formatCode>\R\$\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1-4BF2-82C1-58F24DDA81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465328"/>
        <c:axId val="100222016"/>
      </c:barChart>
      <c:catAx>
        <c:axId val="14846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22016"/>
        <c:crosses val="autoZero"/>
        <c:auto val="1"/>
        <c:lblAlgn val="ctr"/>
        <c:lblOffset val="100"/>
        <c:noMultiLvlLbl val="0"/>
      </c:catAx>
      <c:valAx>
        <c:axId val="100222016"/>
        <c:scaling>
          <c:orientation val="minMax"/>
        </c:scaling>
        <c:delete val="1"/>
        <c:axPos val="b"/>
        <c:numFmt formatCode="\R\$\ #,##0.00" sourceLinked="1"/>
        <c:majorTickMark val="none"/>
        <c:minorTickMark val="none"/>
        <c:tickLblPos val="nextTo"/>
        <c:crossAx val="148465328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[meu_dashboard_xbox.xlsx]Calculos!Tabela dinâmica6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Calculos!$C$35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Calculos!$B$36:$B$39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Calculos!$C$36:$C$39</c:f>
              <c:numCache>
                <c:formatCode>\R\$\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46-4E42-BF27-2BB516DA4E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1777776"/>
        <c:axId val="307300256"/>
      </c:barChart>
      <c:catAx>
        <c:axId val="25177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7300256"/>
        <c:crosses val="autoZero"/>
        <c:auto val="1"/>
        <c:lblAlgn val="ctr"/>
        <c:lblOffset val="100"/>
        <c:noMultiLvlLbl val="0"/>
      </c:catAx>
      <c:valAx>
        <c:axId val="307300256"/>
        <c:scaling>
          <c:orientation val="minMax"/>
        </c:scaling>
        <c:delete val="1"/>
        <c:axPos val="l"/>
        <c:numFmt formatCode="\R\$\ #,##0.00" sourceLinked="1"/>
        <c:majorTickMark val="none"/>
        <c:minorTickMark val="none"/>
        <c:tickLblPos val="nextTo"/>
        <c:crossAx val="251777776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[meu_dashboard_xbox.xlsx]Calculos!Tabela dinâmica7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Calculos!$C$43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ED-430A-804B-DCB36360D441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ED-430A-804B-DCB36360D441}"/>
              </c:ext>
            </c:extLst>
          </c:dPt>
          <c:dPt>
            <c:idx val="2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ED-430A-804B-DCB36360D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Calculos!$B$44:$B$47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Calculos!$C$44:$C$47</c:f>
              <c:numCache>
                <c:formatCode>\R\$\ #,##0.00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ED-430A-804B-DCB36360D4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[meu_dashboard_xbox.xlsx]Calculos!Tabela dinâmica8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2AE6B1"/>
            </a:solidFill>
            <a:ln w="9525">
              <a:solidFill>
                <a:srgbClr val="22C55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Calculos!$C$52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E6B1"/>
              </a:solidFill>
              <a:ln w="9525">
                <a:solidFill>
                  <a:srgbClr val="22C55E"/>
                </a:solidFill>
              </a:ln>
              <a:effectLst/>
            </c:spPr>
          </c:marker>
          <c:cat>
            <c:strRef>
              <c:f>Calculos!$B$53:$B$65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Calculos!$C$53:$C$65</c:f>
              <c:numCache>
                <c:formatCode>\R\$\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2-45A8-970E-345B7A1D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33184"/>
        <c:axId val="307274816"/>
      </c:lineChart>
      <c:catAx>
        <c:axId val="22013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7274816"/>
        <c:crosses val="autoZero"/>
        <c:auto val="1"/>
        <c:lblAlgn val="ctr"/>
        <c:lblOffset val="100"/>
        <c:noMultiLvlLbl val="0"/>
      </c:catAx>
      <c:valAx>
        <c:axId val="307274816"/>
        <c:scaling>
          <c:orientation val="minMax"/>
        </c:scaling>
        <c:delete val="0"/>
        <c:axPos val="l"/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1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</xdr:row>
      <xdr:rowOff>1</xdr:rowOff>
    </xdr:from>
    <xdr:ext cx="4392000" cy="2419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15</xdr:row>
      <xdr:rowOff>1</xdr:rowOff>
    </xdr:from>
    <xdr:ext cx="4104000" cy="2419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76200</xdr:colOff>
      <xdr:row>0</xdr:row>
      <xdr:rowOff>95250</xdr:rowOff>
    </xdr:from>
    <xdr:ext cx="1809750" cy="5524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" y="95250"/>
          <a:ext cx="1809750" cy="5524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609600" cy="6096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52915</xdr:rowOff>
    </xdr:from>
    <xdr:ext cx="514350" cy="5619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33833" y="1217082"/>
          <a:ext cx="514350" cy="561975"/>
        </a:xfrm>
        <a:prstGeom prst="rect">
          <a:avLst/>
        </a:prstGeom>
      </xdr:spPr>
    </xdr:pic>
    <xdr:clientData/>
  </xdr:oneCellAnchor>
  <xdr:twoCellAnchor>
    <xdr:from>
      <xdr:col>2</xdr:col>
      <xdr:colOff>126999</xdr:colOff>
      <xdr:row>32</xdr:row>
      <xdr:rowOff>105834</xdr:rowOff>
    </xdr:from>
    <xdr:to>
      <xdr:col>7</xdr:col>
      <xdr:colOff>211666</xdr:colOff>
      <xdr:row>45</xdr:row>
      <xdr:rowOff>74084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EE3EAD-B3A9-4255-921B-342ED2E9B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518583</xdr:colOff>
      <xdr:row>32</xdr:row>
      <xdr:rowOff>127000</xdr:rowOff>
    </xdr:from>
    <xdr:to>
      <xdr:col>13</xdr:col>
      <xdr:colOff>518583</xdr:colOff>
      <xdr:row>45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DB00E1-3D7D-4FC9-B1AD-B7279F5FD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84667</xdr:colOff>
      <xdr:row>4</xdr:row>
      <xdr:rowOff>21165</xdr:rowOff>
    </xdr:from>
    <xdr:to>
      <xdr:col>0</xdr:col>
      <xdr:colOff>1913467</xdr:colOff>
      <xdr:row>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6F3445A7-3332-4768-A48E-8CB9BD60E5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67" y="1011765"/>
              <a:ext cx="1828800" cy="1245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529835069443" createdVersion="8" refreshedVersion="8" minRefreshableVersion="3" recordCount="295" xr:uid="{3DCCA3AD-82A2-4821-B87F-598FDC0CB38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0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 count="2">
        <n v="20"/>
        <n v="0"/>
      </sharedItems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387350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x v="0"/>
    <n v="5"/>
    <n v="60"/>
  </r>
  <r>
    <n v="3232"/>
    <s v="Maria Oliveira"/>
    <x v="1"/>
    <x v="1"/>
    <x v="1"/>
    <n v="5"/>
    <x v="1"/>
    <s v="No"/>
    <s v="-"/>
    <s v="No"/>
    <x v="1"/>
    <n v="0"/>
    <n v="5"/>
  </r>
  <r>
    <n v="3233"/>
    <s v="Lucas Fernandes"/>
    <x v="2"/>
    <x v="2"/>
    <x v="0"/>
    <n v="10"/>
    <x v="2"/>
    <s v="No"/>
    <s v="-"/>
    <s v="Yes"/>
    <x v="0"/>
    <n v="10"/>
    <n v="20"/>
  </r>
  <r>
    <n v="3234"/>
    <s v="Ana Souza"/>
    <x v="0"/>
    <x v="3"/>
    <x v="1"/>
    <n v="15"/>
    <x v="0"/>
    <s v="Yes"/>
    <n v="30"/>
    <s v="Yes"/>
    <x v="0"/>
    <n v="3"/>
    <n v="62"/>
  </r>
  <r>
    <n v="3235"/>
    <s v="Pedro Gonçalves"/>
    <x v="1"/>
    <x v="4"/>
    <x v="0"/>
    <n v="5"/>
    <x v="0"/>
    <s v="No"/>
    <s v="-"/>
    <s v="No"/>
    <x v="1"/>
    <n v="1"/>
    <n v="4"/>
  </r>
  <r>
    <n v="3236"/>
    <s v="Felipe Costa"/>
    <x v="2"/>
    <x v="5"/>
    <x v="1"/>
    <n v="10"/>
    <x v="0"/>
    <s v="No"/>
    <s v="-"/>
    <s v="Yes"/>
    <x v="0"/>
    <n v="2"/>
    <n v="28"/>
  </r>
  <r>
    <n v="3237"/>
    <s v="Camila Ribeiro"/>
    <x v="0"/>
    <x v="6"/>
    <x v="0"/>
    <n v="15"/>
    <x v="2"/>
    <s v="Yes"/>
    <n v="30"/>
    <s v="Yes"/>
    <x v="0"/>
    <n v="10"/>
    <n v="55"/>
  </r>
  <r>
    <n v="3238"/>
    <s v="André Mendes"/>
    <x v="1"/>
    <x v="7"/>
    <x v="0"/>
    <n v="5"/>
    <x v="1"/>
    <s v="No"/>
    <s v="-"/>
    <s v="No"/>
    <x v="1"/>
    <n v="0"/>
    <n v="5"/>
  </r>
  <r>
    <n v="3239"/>
    <s v="Sofia Almeida"/>
    <x v="0"/>
    <x v="4"/>
    <x v="1"/>
    <n v="15"/>
    <x v="0"/>
    <s v="Yes"/>
    <n v="30"/>
    <s v="Yes"/>
    <x v="0"/>
    <n v="5"/>
    <n v="60"/>
  </r>
  <r>
    <n v="3240"/>
    <s v="Bruno Martins"/>
    <x v="2"/>
    <x v="8"/>
    <x v="0"/>
    <n v="10"/>
    <x v="2"/>
    <s v="No"/>
    <s v="-"/>
    <s v="Yes"/>
    <x v="0"/>
    <n v="15"/>
    <n v="15"/>
  </r>
  <r>
    <n v="3241"/>
    <s v="Rita Castro"/>
    <x v="1"/>
    <x v="9"/>
    <x v="1"/>
    <n v="5"/>
    <x v="0"/>
    <s v="No"/>
    <s v="-"/>
    <s v="No"/>
    <x v="1"/>
    <n v="1"/>
    <n v="4"/>
  </r>
  <r>
    <n v="3242"/>
    <s v="Marco Túlio"/>
    <x v="0"/>
    <x v="10"/>
    <x v="0"/>
    <n v="15"/>
    <x v="1"/>
    <s v="Yes"/>
    <n v="30"/>
    <s v="Yes"/>
    <x v="0"/>
    <n v="20"/>
    <n v="45"/>
  </r>
  <r>
    <n v="3243"/>
    <s v="Lívia Silveira"/>
    <x v="2"/>
    <x v="11"/>
    <x v="1"/>
    <n v="10"/>
    <x v="0"/>
    <s v="No"/>
    <s v="-"/>
    <s v="Yes"/>
    <x v="0"/>
    <n v="10"/>
    <n v="20"/>
  </r>
  <r>
    <n v="3244"/>
    <s v="Diogo Sousa"/>
    <x v="1"/>
    <x v="12"/>
    <x v="0"/>
    <n v="5"/>
    <x v="2"/>
    <s v="No"/>
    <s v="-"/>
    <s v="No"/>
    <x v="1"/>
    <n v="0"/>
    <n v="5"/>
  </r>
  <r>
    <n v="3245"/>
    <s v="Fernanda Lima"/>
    <x v="0"/>
    <x v="13"/>
    <x v="1"/>
    <n v="15"/>
    <x v="0"/>
    <s v="Yes"/>
    <n v="30"/>
    <s v="Yes"/>
    <x v="0"/>
    <n v="8"/>
    <n v="57"/>
  </r>
  <r>
    <n v="3246"/>
    <s v="Caio Pereira"/>
    <x v="2"/>
    <x v="14"/>
    <x v="0"/>
    <n v="10"/>
    <x v="1"/>
    <s v="No"/>
    <s v="-"/>
    <s v="Yes"/>
    <x v="0"/>
    <n v="12"/>
    <n v="18"/>
  </r>
  <r>
    <n v="3247"/>
    <s v="Beatriz Gomes"/>
    <x v="1"/>
    <x v="15"/>
    <x v="1"/>
    <n v="5"/>
    <x v="0"/>
    <s v="No"/>
    <s v="-"/>
    <s v="No"/>
    <x v="1"/>
    <n v="2"/>
    <n v="3"/>
  </r>
  <r>
    <n v="3248"/>
    <s v="Cesar Oliveira"/>
    <x v="0"/>
    <x v="16"/>
    <x v="0"/>
    <n v="15"/>
    <x v="2"/>
    <s v="Yes"/>
    <n v="30"/>
    <s v="Yes"/>
    <x v="0"/>
    <n v="7"/>
    <n v="58"/>
  </r>
  <r>
    <n v="3249"/>
    <s v="Débora Machado"/>
    <x v="2"/>
    <x v="17"/>
    <x v="1"/>
    <n v="10"/>
    <x v="0"/>
    <s v="No"/>
    <s v="-"/>
    <s v="Yes"/>
    <x v="0"/>
    <n v="5"/>
    <n v="25"/>
  </r>
  <r>
    <n v="3250"/>
    <s v="Eduardo Vargas"/>
    <x v="1"/>
    <x v="18"/>
    <x v="0"/>
    <n v="5"/>
    <x v="1"/>
    <s v="No"/>
    <s v="-"/>
    <s v="No"/>
    <x v="1"/>
    <n v="0"/>
    <n v="5"/>
  </r>
  <r>
    <n v="3251"/>
    <s v="Gabriela Santos"/>
    <x v="0"/>
    <x v="19"/>
    <x v="1"/>
    <n v="15"/>
    <x v="0"/>
    <s v="Yes"/>
    <n v="30"/>
    <s v="Yes"/>
    <x v="0"/>
    <n v="3"/>
    <n v="62"/>
  </r>
  <r>
    <n v="3252"/>
    <s v="Henrique Dias"/>
    <x v="2"/>
    <x v="20"/>
    <x v="0"/>
    <n v="10"/>
    <x v="2"/>
    <s v="No"/>
    <s v="-"/>
    <s v="Yes"/>
    <x v="0"/>
    <n v="15"/>
    <n v="15"/>
  </r>
  <r>
    <n v="3253"/>
    <s v="Isabela Moreira"/>
    <x v="1"/>
    <x v="21"/>
    <x v="1"/>
    <n v="5"/>
    <x v="0"/>
    <s v="No"/>
    <s v="-"/>
    <s v="No"/>
    <x v="1"/>
    <n v="1"/>
    <n v="4"/>
  </r>
  <r>
    <n v="3254"/>
    <s v="Joaquim Barbosa"/>
    <x v="0"/>
    <x v="22"/>
    <x v="0"/>
    <n v="15"/>
    <x v="1"/>
    <s v="Yes"/>
    <n v="30"/>
    <s v="Yes"/>
    <x v="0"/>
    <n v="20"/>
    <n v="45"/>
  </r>
  <r>
    <n v="3255"/>
    <s v="Lara Rocha"/>
    <x v="2"/>
    <x v="23"/>
    <x v="1"/>
    <n v="10"/>
    <x v="0"/>
    <s v="No"/>
    <s v="-"/>
    <s v="Yes"/>
    <x v="0"/>
    <n v="10"/>
    <n v="20"/>
  </r>
  <r>
    <n v="3256"/>
    <s v="Matheus Silva"/>
    <x v="1"/>
    <x v="24"/>
    <x v="0"/>
    <n v="5"/>
    <x v="2"/>
    <s v="No"/>
    <s v="-"/>
    <s v="No"/>
    <x v="1"/>
    <n v="0"/>
    <n v="5"/>
  </r>
  <r>
    <n v="3257"/>
    <s v="Nicole Costa"/>
    <x v="0"/>
    <x v="25"/>
    <x v="1"/>
    <n v="15"/>
    <x v="0"/>
    <s v="Yes"/>
    <n v="30"/>
    <s v="Yes"/>
    <x v="0"/>
    <n v="5"/>
    <n v="60"/>
  </r>
  <r>
    <n v="3258"/>
    <s v="Otávio Mendonça"/>
    <x v="2"/>
    <x v="26"/>
    <x v="0"/>
    <n v="10"/>
    <x v="1"/>
    <s v="No"/>
    <s v="-"/>
    <s v="Yes"/>
    <x v="0"/>
    <n v="15"/>
    <n v="15"/>
  </r>
  <r>
    <n v="3259"/>
    <s v="Paula Ferreira"/>
    <x v="1"/>
    <x v="27"/>
    <x v="1"/>
    <n v="5"/>
    <x v="0"/>
    <s v="No"/>
    <s v="-"/>
    <s v="No"/>
    <x v="1"/>
    <n v="1"/>
    <n v="4"/>
  </r>
  <r>
    <n v="3260"/>
    <s v="Raquel Alves"/>
    <x v="0"/>
    <x v="28"/>
    <x v="0"/>
    <n v="15"/>
    <x v="2"/>
    <s v="Yes"/>
    <n v="30"/>
    <s v="Yes"/>
    <x v="0"/>
    <n v="7"/>
    <n v="58"/>
  </r>
  <r>
    <n v="3261"/>
    <s v="Samuel Pires"/>
    <x v="2"/>
    <x v="29"/>
    <x v="1"/>
    <n v="10"/>
    <x v="0"/>
    <s v="No"/>
    <s v="-"/>
    <s v="Yes"/>
    <x v="0"/>
    <n v="10"/>
    <n v="20"/>
  </r>
  <r>
    <n v="3262"/>
    <s v="Tânia Barros"/>
    <x v="1"/>
    <x v="30"/>
    <x v="0"/>
    <n v="5"/>
    <x v="1"/>
    <s v="No"/>
    <s v="-"/>
    <s v="No"/>
    <x v="1"/>
    <n v="0"/>
    <n v="5"/>
  </r>
  <r>
    <n v="3263"/>
    <s v="Vinicius Lima"/>
    <x v="0"/>
    <x v="31"/>
    <x v="1"/>
    <n v="15"/>
    <x v="0"/>
    <s v="Yes"/>
    <n v="30"/>
    <s v="Yes"/>
    <x v="0"/>
    <n v="3"/>
    <n v="62"/>
  </r>
  <r>
    <n v="3264"/>
    <s v="Yasmin Teixeira"/>
    <x v="2"/>
    <x v="32"/>
    <x v="0"/>
    <n v="10"/>
    <x v="2"/>
    <s v="No"/>
    <s v="-"/>
    <s v="Yes"/>
    <x v="0"/>
    <n v="15"/>
    <n v="15"/>
  </r>
  <r>
    <n v="3265"/>
    <s v="Zé Carlos"/>
    <x v="1"/>
    <x v="33"/>
    <x v="1"/>
    <n v="5"/>
    <x v="0"/>
    <s v="No"/>
    <s v="-"/>
    <s v="No"/>
    <x v="1"/>
    <n v="1"/>
    <n v="4"/>
  </r>
  <r>
    <n v="3266"/>
    <s v="Amanda Nogueira"/>
    <x v="1"/>
    <x v="34"/>
    <x v="0"/>
    <n v="5"/>
    <x v="0"/>
    <s v="No"/>
    <s v="-"/>
    <s v="No"/>
    <x v="1"/>
    <n v="0"/>
    <n v="5"/>
  </r>
  <r>
    <n v="3267"/>
    <s v="Bruno Cavalheiro"/>
    <x v="0"/>
    <x v="35"/>
    <x v="1"/>
    <n v="15"/>
    <x v="2"/>
    <s v="Yes"/>
    <n v="30"/>
    <s v="Yes"/>
    <x v="0"/>
    <n v="7"/>
    <n v="58"/>
  </r>
  <r>
    <n v="3268"/>
    <s v="Carla Dias"/>
    <x v="2"/>
    <x v="36"/>
    <x v="0"/>
    <n v="10"/>
    <x v="1"/>
    <s v="No"/>
    <s v="-"/>
    <s v="Yes"/>
    <x v="0"/>
    <n v="10"/>
    <n v="20"/>
  </r>
  <r>
    <n v="3269"/>
    <s v="Diego Fontes"/>
    <x v="1"/>
    <x v="37"/>
    <x v="1"/>
    <n v="5"/>
    <x v="2"/>
    <s v="No"/>
    <s v="-"/>
    <s v="No"/>
    <x v="1"/>
    <n v="1"/>
    <n v="4"/>
  </r>
  <r>
    <n v="3270"/>
    <s v="Eunice Lima"/>
    <x v="0"/>
    <x v="38"/>
    <x v="0"/>
    <n v="15"/>
    <x v="0"/>
    <s v="Yes"/>
    <n v="30"/>
    <s v="Yes"/>
    <x v="0"/>
    <n v="15"/>
    <n v="50"/>
  </r>
  <r>
    <n v="3271"/>
    <s v="Fábio Martins"/>
    <x v="2"/>
    <x v="39"/>
    <x v="1"/>
    <n v="10"/>
    <x v="0"/>
    <s v="No"/>
    <s v="-"/>
    <s v="Yes"/>
    <x v="0"/>
    <n v="5"/>
    <n v="25"/>
  </r>
  <r>
    <n v="3272"/>
    <s v="Gisele Araújo"/>
    <x v="1"/>
    <x v="40"/>
    <x v="0"/>
    <n v="5"/>
    <x v="1"/>
    <s v="No"/>
    <s v="-"/>
    <s v="No"/>
    <x v="1"/>
    <n v="0"/>
    <n v="5"/>
  </r>
  <r>
    <n v="3273"/>
    <s v="Hélio Castro"/>
    <x v="0"/>
    <x v="41"/>
    <x v="1"/>
    <n v="15"/>
    <x v="2"/>
    <s v="Yes"/>
    <n v="30"/>
    <s v="Yes"/>
    <x v="0"/>
    <n v="20"/>
    <n v="45"/>
  </r>
  <r>
    <n v="3274"/>
    <s v="Ingrid Menezes"/>
    <x v="2"/>
    <x v="42"/>
    <x v="0"/>
    <n v="10"/>
    <x v="2"/>
    <s v="No"/>
    <s v="-"/>
    <s v="Yes"/>
    <x v="0"/>
    <n v="12"/>
    <n v="18"/>
  </r>
  <r>
    <n v="3275"/>
    <s v="Jorge Baptista"/>
    <x v="1"/>
    <x v="43"/>
    <x v="1"/>
    <n v="5"/>
    <x v="0"/>
    <s v="No"/>
    <s v="-"/>
    <s v="No"/>
    <x v="1"/>
    <n v="2"/>
    <n v="3"/>
  </r>
  <r>
    <n v="3276"/>
    <s v="Kléber Oliveira"/>
    <x v="0"/>
    <x v="44"/>
    <x v="0"/>
    <n v="15"/>
    <x v="1"/>
    <s v="Yes"/>
    <n v="30"/>
    <s v="Yes"/>
    <x v="0"/>
    <n v="5"/>
    <n v="60"/>
  </r>
  <r>
    <n v="3277"/>
    <s v="Luciana Freitas"/>
    <x v="2"/>
    <x v="45"/>
    <x v="1"/>
    <n v="10"/>
    <x v="0"/>
    <s v="No"/>
    <s v="-"/>
    <s v="Yes"/>
    <x v="0"/>
    <n v="10"/>
    <n v="20"/>
  </r>
  <r>
    <n v="3278"/>
    <s v="Márcia Eller"/>
    <x v="1"/>
    <x v="46"/>
    <x v="0"/>
    <n v="5"/>
    <x v="2"/>
    <s v="No"/>
    <s v="-"/>
    <s v="No"/>
    <x v="1"/>
    <n v="0"/>
    <n v="5"/>
  </r>
  <r>
    <n v="3279"/>
    <s v="Nilo Peçanha"/>
    <x v="0"/>
    <x v="47"/>
    <x v="1"/>
    <n v="15"/>
    <x v="0"/>
    <s v="Yes"/>
    <n v="30"/>
    <s v="Yes"/>
    <x v="0"/>
    <n v="3"/>
    <n v="62"/>
  </r>
  <r>
    <n v="3280"/>
    <s v="Oscar Neves"/>
    <x v="2"/>
    <x v="48"/>
    <x v="0"/>
    <n v="10"/>
    <x v="1"/>
    <s v="No"/>
    <s v="-"/>
    <s v="Yes"/>
    <x v="0"/>
    <n v="15"/>
    <n v="15"/>
  </r>
  <r>
    <n v="3281"/>
    <s v="Patrícia Soares"/>
    <x v="1"/>
    <x v="49"/>
    <x v="1"/>
    <n v="5"/>
    <x v="0"/>
    <s v="No"/>
    <s v="-"/>
    <s v="No"/>
    <x v="1"/>
    <n v="1"/>
    <n v="4"/>
  </r>
  <r>
    <n v="3282"/>
    <s v="Quirino Gonçalves"/>
    <x v="0"/>
    <x v="50"/>
    <x v="0"/>
    <n v="15"/>
    <x v="2"/>
    <s v="Yes"/>
    <n v="30"/>
    <s v="Yes"/>
    <x v="0"/>
    <n v="7"/>
    <n v="58"/>
  </r>
  <r>
    <n v="3283"/>
    <s v="Raul Machado"/>
    <x v="2"/>
    <x v="51"/>
    <x v="1"/>
    <n v="10"/>
    <x v="0"/>
    <s v="No"/>
    <s v="-"/>
    <s v="Yes"/>
    <x v="0"/>
    <n v="10"/>
    <n v="20"/>
  </r>
  <r>
    <n v="3284"/>
    <s v="Sônia Lobo"/>
    <x v="1"/>
    <x v="52"/>
    <x v="0"/>
    <n v="5"/>
    <x v="1"/>
    <s v="No"/>
    <s v="-"/>
    <s v="No"/>
    <x v="1"/>
    <n v="0"/>
    <n v="5"/>
  </r>
  <r>
    <n v="3285"/>
    <s v="Tiago Ramos"/>
    <x v="0"/>
    <x v="53"/>
    <x v="1"/>
    <n v="15"/>
    <x v="0"/>
    <s v="Yes"/>
    <n v="30"/>
    <s v="Yes"/>
    <x v="0"/>
    <n v="20"/>
    <n v="45"/>
  </r>
  <r>
    <n v="3286"/>
    <s v="Ugo Pires"/>
    <x v="2"/>
    <x v="54"/>
    <x v="0"/>
    <n v="10"/>
    <x v="2"/>
    <s v="No"/>
    <s v="-"/>
    <s v="Yes"/>
    <x v="0"/>
    <n v="15"/>
    <n v="15"/>
  </r>
  <r>
    <n v="3287"/>
    <s v="Valéria Nobre"/>
    <x v="1"/>
    <x v="55"/>
    <x v="1"/>
    <n v="5"/>
    <x v="0"/>
    <s v="No"/>
    <s v="-"/>
    <s v="No"/>
    <x v="1"/>
    <n v="1"/>
    <n v="4"/>
  </r>
  <r>
    <n v="3288"/>
    <s v="William Siqueira"/>
    <x v="0"/>
    <x v="56"/>
    <x v="0"/>
    <n v="15"/>
    <x v="1"/>
    <s v="Yes"/>
    <n v="30"/>
    <s v="Yes"/>
    <x v="0"/>
    <n v="3"/>
    <n v="62"/>
  </r>
  <r>
    <n v="3289"/>
    <s v="Xuxa Meneghel"/>
    <x v="2"/>
    <x v="57"/>
    <x v="1"/>
    <n v="10"/>
    <x v="0"/>
    <s v="No"/>
    <s v="-"/>
    <s v="Yes"/>
    <x v="0"/>
    <n v="10"/>
    <n v="20"/>
  </r>
  <r>
    <n v="3290"/>
    <s v="Yara Figueiredo"/>
    <x v="1"/>
    <x v="58"/>
    <x v="0"/>
    <n v="5"/>
    <x v="2"/>
    <s v="No"/>
    <s v="-"/>
    <s v="No"/>
    <x v="1"/>
    <n v="0"/>
    <n v="5"/>
  </r>
  <r>
    <n v="3291"/>
    <s v="Zacarias Alves"/>
    <x v="0"/>
    <x v="59"/>
    <x v="1"/>
    <n v="15"/>
    <x v="0"/>
    <s v="Yes"/>
    <n v="30"/>
    <s v="Yes"/>
    <x v="0"/>
    <n v="5"/>
    <n v="60"/>
  </r>
  <r>
    <n v="3292"/>
    <s v="Amanda Bynes"/>
    <x v="2"/>
    <x v="60"/>
    <x v="0"/>
    <n v="10"/>
    <x v="1"/>
    <s v="No"/>
    <s v="-"/>
    <s v="Yes"/>
    <x v="0"/>
    <n v="15"/>
    <n v="15"/>
  </r>
  <r>
    <n v="3293"/>
    <s v="Bruno Mars"/>
    <x v="1"/>
    <x v="61"/>
    <x v="1"/>
    <n v="5"/>
    <x v="0"/>
    <s v="No"/>
    <s v="-"/>
    <s v="No"/>
    <x v="1"/>
    <n v="1"/>
    <n v="4"/>
  </r>
  <r>
    <n v="3294"/>
    <s v="Carla Bruni"/>
    <x v="0"/>
    <x v="62"/>
    <x v="0"/>
    <n v="15"/>
    <x v="2"/>
    <s v="Yes"/>
    <n v="30"/>
    <s v="Yes"/>
    <x v="0"/>
    <n v="20"/>
    <n v="45"/>
  </r>
  <r>
    <n v="3295"/>
    <s v="Diego Maradona"/>
    <x v="2"/>
    <x v="63"/>
    <x v="1"/>
    <n v="10"/>
    <x v="0"/>
    <s v="No"/>
    <s v="-"/>
    <s v="Yes"/>
    <x v="0"/>
    <n v="5"/>
    <n v="25"/>
  </r>
  <r>
    <n v="3296"/>
    <s v="Estela Marques"/>
    <x v="1"/>
    <x v="64"/>
    <x v="1"/>
    <n v="5"/>
    <x v="0"/>
    <s v="No"/>
    <s v="-"/>
    <s v="No"/>
    <x v="1"/>
    <n v="0"/>
    <n v="5"/>
  </r>
  <r>
    <n v="3297"/>
    <s v="Fábio Nobre"/>
    <x v="0"/>
    <x v="65"/>
    <x v="0"/>
    <n v="15"/>
    <x v="2"/>
    <s v="Yes"/>
    <n v="30"/>
    <s v="Yes"/>
    <x v="0"/>
    <n v="7"/>
    <n v="58"/>
  </r>
  <r>
    <n v="3298"/>
    <s v="Gabriel Oliveira"/>
    <x v="2"/>
    <x v="66"/>
    <x v="1"/>
    <n v="10"/>
    <x v="1"/>
    <s v="No"/>
    <s v="-"/>
    <s v="Yes"/>
    <x v="0"/>
    <n v="10"/>
    <n v="20"/>
  </r>
  <r>
    <n v="3299"/>
    <s v="Helena Santos"/>
    <x v="1"/>
    <x v="67"/>
    <x v="0"/>
    <n v="5"/>
    <x v="2"/>
    <s v="No"/>
    <s v="-"/>
    <s v="No"/>
    <x v="1"/>
    <n v="1"/>
    <n v="4"/>
  </r>
  <r>
    <n v="3300"/>
    <s v="Ivan Carvalho"/>
    <x v="0"/>
    <x v="68"/>
    <x v="1"/>
    <n v="15"/>
    <x v="0"/>
    <s v="Yes"/>
    <n v="30"/>
    <s v="Yes"/>
    <x v="0"/>
    <n v="15"/>
    <n v="50"/>
  </r>
  <r>
    <n v="3301"/>
    <s v="Júlia Ferreira"/>
    <x v="2"/>
    <x v="69"/>
    <x v="0"/>
    <n v="10"/>
    <x v="0"/>
    <s v="No"/>
    <s v="-"/>
    <s v="Yes"/>
    <x v="0"/>
    <n v="5"/>
    <n v="25"/>
  </r>
  <r>
    <n v="3302"/>
    <s v="Karla Alves"/>
    <x v="1"/>
    <x v="70"/>
    <x v="1"/>
    <n v="5"/>
    <x v="1"/>
    <s v="No"/>
    <s v="-"/>
    <s v="No"/>
    <x v="1"/>
    <n v="0"/>
    <n v="5"/>
  </r>
  <r>
    <n v="3303"/>
    <s v="Lucas Mendes"/>
    <x v="0"/>
    <x v="71"/>
    <x v="0"/>
    <n v="15"/>
    <x v="2"/>
    <s v="Yes"/>
    <n v="30"/>
    <s v="Yes"/>
    <x v="0"/>
    <n v="20"/>
    <n v="45"/>
  </r>
  <r>
    <n v="3304"/>
    <s v="Mônica Gomes"/>
    <x v="2"/>
    <x v="72"/>
    <x v="1"/>
    <n v="10"/>
    <x v="2"/>
    <s v="No"/>
    <s v="-"/>
    <s v="Yes"/>
    <x v="0"/>
    <n v="12"/>
    <n v="18"/>
  </r>
  <r>
    <n v="3305"/>
    <s v="Norberto Queiroz"/>
    <x v="1"/>
    <x v="73"/>
    <x v="0"/>
    <n v="5"/>
    <x v="0"/>
    <s v="No"/>
    <s v="-"/>
    <s v="No"/>
    <x v="1"/>
    <n v="2"/>
    <n v="3"/>
  </r>
  <r>
    <n v="3306"/>
    <s v="Otávio Barros"/>
    <x v="0"/>
    <x v="74"/>
    <x v="1"/>
    <n v="15"/>
    <x v="1"/>
    <s v="Yes"/>
    <n v="30"/>
    <s v="Yes"/>
    <x v="0"/>
    <n v="5"/>
    <n v="60"/>
  </r>
  <r>
    <n v="3307"/>
    <s v="Paula Vieira"/>
    <x v="2"/>
    <x v="75"/>
    <x v="0"/>
    <n v="10"/>
    <x v="0"/>
    <s v="No"/>
    <s v="-"/>
    <s v="Yes"/>
    <x v="0"/>
    <n v="10"/>
    <n v="20"/>
  </r>
  <r>
    <n v="3308"/>
    <s v="Quentin Ramos"/>
    <x v="1"/>
    <x v="76"/>
    <x v="1"/>
    <n v="5"/>
    <x v="2"/>
    <s v="No"/>
    <s v="-"/>
    <s v="No"/>
    <x v="1"/>
    <n v="0"/>
    <n v="5"/>
  </r>
  <r>
    <n v="3309"/>
    <s v="Raquel Novaes"/>
    <x v="0"/>
    <x v="77"/>
    <x v="0"/>
    <n v="15"/>
    <x v="0"/>
    <s v="Yes"/>
    <n v="30"/>
    <s v="Yes"/>
    <x v="0"/>
    <n v="3"/>
    <n v="62"/>
  </r>
  <r>
    <n v="3310"/>
    <s v="Samantha Lopes"/>
    <x v="2"/>
    <x v="78"/>
    <x v="1"/>
    <n v="10"/>
    <x v="1"/>
    <s v="No"/>
    <s v="-"/>
    <s v="Yes"/>
    <x v="0"/>
    <n v="15"/>
    <n v="15"/>
  </r>
  <r>
    <n v="3311"/>
    <s v="Tiago Martins"/>
    <x v="1"/>
    <x v="79"/>
    <x v="0"/>
    <n v="5"/>
    <x v="0"/>
    <s v="No"/>
    <s v="-"/>
    <s v="No"/>
    <x v="1"/>
    <n v="1"/>
    <n v="4"/>
  </r>
  <r>
    <n v="3312"/>
    <s v="Ulysses Guimarães"/>
    <x v="0"/>
    <x v="80"/>
    <x v="1"/>
    <n v="15"/>
    <x v="2"/>
    <s v="Yes"/>
    <n v="30"/>
    <s v="Yes"/>
    <x v="0"/>
    <n v="7"/>
    <n v="58"/>
  </r>
  <r>
    <n v="3313"/>
    <s v="Vanessa Silva"/>
    <x v="2"/>
    <x v="81"/>
    <x v="0"/>
    <n v="10"/>
    <x v="0"/>
    <s v="No"/>
    <s v="-"/>
    <s v="Yes"/>
    <x v="0"/>
    <n v="10"/>
    <n v="20"/>
  </r>
  <r>
    <n v="3314"/>
    <s v="William Carneiro"/>
    <x v="1"/>
    <x v="82"/>
    <x v="1"/>
    <n v="5"/>
    <x v="1"/>
    <s v="No"/>
    <s v="-"/>
    <s v="No"/>
    <x v="1"/>
    <n v="0"/>
    <n v="5"/>
  </r>
  <r>
    <n v="3315"/>
    <s v="Ximena Rocha"/>
    <x v="0"/>
    <x v="83"/>
    <x v="0"/>
    <n v="15"/>
    <x v="0"/>
    <s v="Yes"/>
    <n v="30"/>
    <s v="Yes"/>
    <x v="0"/>
    <n v="20"/>
    <n v="45"/>
  </r>
  <r>
    <n v="3316"/>
    <s v="Yasmin Figueiredo"/>
    <x v="2"/>
    <x v="84"/>
    <x v="1"/>
    <n v="10"/>
    <x v="2"/>
    <s v="No"/>
    <s v="-"/>
    <s v="Yes"/>
    <x v="0"/>
    <n v="15"/>
    <n v="15"/>
  </r>
  <r>
    <n v="3317"/>
    <s v="Zara Cunha"/>
    <x v="1"/>
    <x v="85"/>
    <x v="0"/>
    <n v="5"/>
    <x v="0"/>
    <s v="No"/>
    <s v="-"/>
    <s v="No"/>
    <x v="1"/>
    <n v="1"/>
    <n v="4"/>
  </r>
  <r>
    <n v="3318"/>
    <s v="Alan Teixeira"/>
    <x v="0"/>
    <x v="86"/>
    <x v="1"/>
    <n v="15"/>
    <x v="1"/>
    <s v="Yes"/>
    <n v="30"/>
    <s v="Yes"/>
    <x v="0"/>
    <n v="3"/>
    <n v="62"/>
  </r>
  <r>
    <n v="3319"/>
    <s v="Bárbara Oliveira"/>
    <x v="2"/>
    <x v="87"/>
    <x v="0"/>
    <n v="10"/>
    <x v="0"/>
    <s v="No"/>
    <s v="-"/>
    <s v="Yes"/>
    <x v="0"/>
    <n v="10"/>
    <n v="20"/>
  </r>
  <r>
    <n v="3320"/>
    <s v="Carlos Junqueira"/>
    <x v="1"/>
    <x v="88"/>
    <x v="1"/>
    <n v="5"/>
    <x v="2"/>
    <s v="No"/>
    <s v="-"/>
    <s v="No"/>
    <x v="1"/>
    <n v="0"/>
    <n v="5"/>
  </r>
  <r>
    <n v="3321"/>
    <s v="Daniela Moura"/>
    <x v="0"/>
    <x v="89"/>
    <x v="0"/>
    <n v="15"/>
    <x v="0"/>
    <s v="Yes"/>
    <n v="30"/>
    <s v="Yes"/>
    <x v="0"/>
    <n v="5"/>
    <n v="60"/>
  </r>
  <r>
    <n v="3322"/>
    <s v="Eduardo Lima"/>
    <x v="2"/>
    <x v="90"/>
    <x v="1"/>
    <n v="10"/>
    <x v="1"/>
    <s v="No"/>
    <s v="-"/>
    <s v="Yes"/>
    <x v="0"/>
    <n v="15"/>
    <n v="15"/>
  </r>
  <r>
    <n v="3323"/>
    <s v="Fabiana Araújo"/>
    <x v="1"/>
    <x v="91"/>
    <x v="0"/>
    <n v="5"/>
    <x v="0"/>
    <s v="No"/>
    <s v="-"/>
    <s v="No"/>
    <x v="1"/>
    <n v="1"/>
    <n v="4"/>
  </r>
  <r>
    <n v="3324"/>
    <s v="Geraldo Ribeiro"/>
    <x v="0"/>
    <x v="92"/>
    <x v="1"/>
    <n v="15"/>
    <x v="2"/>
    <s v="Yes"/>
    <n v="30"/>
    <s v="Yes"/>
    <x v="0"/>
    <n v="20"/>
    <n v="45"/>
  </r>
  <r>
    <n v="3325"/>
    <s v="Héctor Vargas"/>
    <x v="2"/>
    <x v="93"/>
    <x v="0"/>
    <n v="10"/>
    <x v="2"/>
    <s v="No"/>
    <s v="-"/>
    <s v="Yes"/>
    <x v="0"/>
    <n v="15"/>
    <n v="15"/>
  </r>
  <r>
    <n v="3326"/>
    <s v="Isabela Fonseca"/>
    <x v="1"/>
    <x v="94"/>
    <x v="1"/>
    <n v="5"/>
    <x v="1"/>
    <s v="No"/>
    <s v="-"/>
    <s v="No"/>
    <x v="1"/>
    <n v="0"/>
    <n v="5"/>
  </r>
  <r>
    <n v="3327"/>
    <s v="João Pedro Almeida"/>
    <x v="0"/>
    <x v="95"/>
    <x v="0"/>
    <n v="15"/>
    <x v="0"/>
    <s v="Yes"/>
    <n v="30"/>
    <s v="Yes"/>
    <x v="0"/>
    <n v="7"/>
    <n v="58"/>
  </r>
  <r>
    <n v="3328"/>
    <s v="Klara Costa"/>
    <x v="2"/>
    <x v="96"/>
    <x v="1"/>
    <n v="10"/>
    <x v="1"/>
    <s v="No"/>
    <s v="-"/>
    <s v="Yes"/>
    <x v="0"/>
    <n v="10"/>
    <n v="20"/>
  </r>
  <r>
    <n v="3329"/>
    <s v="Luciana Mendes"/>
    <x v="1"/>
    <x v="97"/>
    <x v="0"/>
    <n v="5"/>
    <x v="2"/>
    <s v="No"/>
    <s v="-"/>
    <s v="No"/>
    <x v="1"/>
    <n v="1"/>
    <n v="4"/>
  </r>
  <r>
    <n v="3330"/>
    <s v="Marcelo Gouveia"/>
    <x v="0"/>
    <x v="98"/>
    <x v="1"/>
    <n v="15"/>
    <x v="0"/>
    <s v="Yes"/>
    <n v="30"/>
    <s v="Yes"/>
    <x v="0"/>
    <n v="15"/>
    <n v="50"/>
  </r>
  <r>
    <n v="3331"/>
    <s v="Nívea Borges"/>
    <x v="2"/>
    <x v="99"/>
    <x v="0"/>
    <n v="10"/>
    <x v="0"/>
    <s v="No"/>
    <s v="-"/>
    <s v="Yes"/>
    <x v="0"/>
    <n v="5"/>
    <n v="25"/>
  </r>
  <r>
    <n v="3332"/>
    <s v="Oscar Nogueira"/>
    <x v="1"/>
    <x v="100"/>
    <x v="1"/>
    <n v="5"/>
    <x v="1"/>
    <s v="No"/>
    <s v="-"/>
    <s v="No"/>
    <x v="1"/>
    <n v="0"/>
    <n v="5"/>
  </r>
  <r>
    <n v="3333"/>
    <s v="Patrícia Alves"/>
    <x v="0"/>
    <x v="101"/>
    <x v="0"/>
    <n v="15"/>
    <x v="2"/>
    <s v="Yes"/>
    <n v="30"/>
    <s v="Yes"/>
    <x v="0"/>
    <n v="20"/>
    <n v="45"/>
  </r>
  <r>
    <n v="3334"/>
    <s v="Rafaela Silva"/>
    <x v="2"/>
    <x v="102"/>
    <x v="1"/>
    <n v="10"/>
    <x v="2"/>
    <s v="No"/>
    <s v="-"/>
    <s v="Yes"/>
    <x v="0"/>
    <n v="12"/>
    <n v="18"/>
  </r>
  <r>
    <n v="3335"/>
    <s v="Samantha Moraes"/>
    <x v="1"/>
    <x v="103"/>
    <x v="0"/>
    <n v="5"/>
    <x v="0"/>
    <s v="No"/>
    <s v="-"/>
    <s v="No"/>
    <x v="1"/>
    <n v="2"/>
    <n v="3"/>
  </r>
  <r>
    <n v="3336"/>
    <s v="Tatiana Rocha"/>
    <x v="1"/>
    <x v="104"/>
    <x v="0"/>
    <n v="5"/>
    <x v="0"/>
    <s v="No"/>
    <s v="-"/>
    <s v="No"/>
    <x v="1"/>
    <n v="0"/>
    <n v="5"/>
  </r>
  <r>
    <n v="3337"/>
    <s v="Ulisses Tavares"/>
    <x v="0"/>
    <x v="105"/>
    <x v="1"/>
    <n v="15"/>
    <x v="2"/>
    <s v="Yes"/>
    <n v="30"/>
    <s v="Yes"/>
    <x v="0"/>
    <n v="7"/>
    <n v="58"/>
  </r>
  <r>
    <n v="3338"/>
    <s v="Víctor Lemos"/>
    <x v="2"/>
    <x v="106"/>
    <x v="0"/>
    <n v="10"/>
    <x v="1"/>
    <s v="No"/>
    <s v="-"/>
    <s v="Yes"/>
    <x v="0"/>
    <n v="10"/>
    <n v="20"/>
  </r>
  <r>
    <n v="3339"/>
    <s v="Wilma Barros"/>
    <x v="1"/>
    <x v="107"/>
    <x v="1"/>
    <n v="5"/>
    <x v="2"/>
    <s v="No"/>
    <s v="-"/>
    <s v="No"/>
    <x v="1"/>
    <n v="1"/>
    <n v="4"/>
  </r>
  <r>
    <n v="3340"/>
    <s v="Xavier Nascimento"/>
    <x v="0"/>
    <x v="108"/>
    <x v="0"/>
    <n v="15"/>
    <x v="0"/>
    <s v="Yes"/>
    <n v="30"/>
    <s v="Yes"/>
    <x v="0"/>
    <n v="15"/>
    <n v="50"/>
  </r>
  <r>
    <n v="3341"/>
    <s v="Yago Pereira"/>
    <x v="2"/>
    <x v="109"/>
    <x v="1"/>
    <n v="10"/>
    <x v="0"/>
    <s v="No"/>
    <s v="-"/>
    <s v="Yes"/>
    <x v="0"/>
    <n v="5"/>
    <n v="25"/>
  </r>
  <r>
    <n v="3342"/>
    <s v="Zilda Ferreira"/>
    <x v="1"/>
    <x v="110"/>
    <x v="0"/>
    <n v="5"/>
    <x v="1"/>
    <s v="No"/>
    <s v="-"/>
    <s v="No"/>
    <x v="1"/>
    <n v="0"/>
    <n v="5"/>
  </r>
  <r>
    <n v="3343"/>
    <s v="Amanda Lopes"/>
    <x v="0"/>
    <x v="111"/>
    <x v="1"/>
    <n v="15"/>
    <x v="2"/>
    <s v="Yes"/>
    <n v="30"/>
    <s v="Yes"/>
    <x v="0"/>
    <n v="20"/>
    <n v="45"/>
  </r>
  <r>
    <n v="3344"/>
    <s v="Bruno Miranda"/>
    <x v="2"/>
    <x v="112"/>
    <x v="0"/>
    <n v="10"/>
    <x v="2"/>
    <s v="No"/>
    <s v="-"/>
    <s v="Yes"/>
    <x v="0"/>
    <n v="12"/>
    <n v="18"/>
  </r>
  <r>
    <n v="3345"/>
    <s v="Célia Torres"/>
    <x v="1"/>
    <x v="113"/>
    <x v="1"/>
    <n v="5"/>
    <x v="0"/>
    <s v="No"/>
    <s v="-"/>
    <s v="No"/>
    <x v="1"/>
    <n v="2"/>
    <n v="3"/>
  </r>
  <r>
    <n v="3346"/>
    <s v="Diogo Souza"/>
    <x v="0"/>
    <x v="114"/>
    <x v="0"/>
    <n v="15"/>
    <x v="1"/>
    <s v="Yes"/>
    <n v="30"/>
    <s v="Yes"/>
    <x v="0"/>
    <n v="5"/>
    <n v="60"/>
  </r>
  <r>
    <n v="3347"/>
    <s v="Elisa Castro"/>
    <x v="2"/>
    <x v="115"/>
    <x v="1"/>
    <n v="10"/>
    <x v="0"/>
    <s v="No"/>
    <s v="-"/>
    <s v="Yes"/>
    <x v="0"/>
    <n v="10"/>
    <n v="20"/>
  </r>
  <r>
    <n v="3348"/>
    <s v="Fátima Lima"/>
    <x v="1"/>
    <x v="116"/>
    <x v="0"/>
    <n v="5"/>
    <x v="2"/>
    <s v="No"/>
    <s v="-"/>
    <s v="No"/>
    <x v="1"/>
    <n v="0"/>
    <n v="5"/>
  </r>
  <r>
    <n v="3349"/>
    <s v="Geraldo Ribeiro"/>
    <x v="0"/>
    <x v="117"/>
    <x v="1"/>
    <n v="15"/>
    <x v="0"/>
    <s v="Yes"/>
    <n v="30"/>
    <s v="Yes"/>
    <x v="0"/>
    <n v="3"/>
    <n v="62"/>
  </r>
  <r>
    <n v="3350"/>
    <s v="Hélio Martins"/>
    <x v="2"/>
    <x v="118"/>
    <x v="0"/>
    <n v="10"/>
    <x v="1"/>
    <s v="No"/>
    <s v="-"/>
    <s v="Yes"/>
    <x v="0"/>
    <n v="15"/>
    <n v="15"/>
  </r>
  <r>
    <n v="3351"/>
    <s v="Íris Santos"/>
    <x v="1"/>
    <x v="119"/>
    <x v="1"/>
    <n v="5"/>
    <x v="0"/>
    <s v="No"/>
    <s v="-"/>
    <s v="No"/>
    <x v="1"/>
    <n v="1"/>
    <n v="4"/>
  </r>
  <r>
    <n v="3352"/>
    <s v="João Marcelo"/>
    <x v="0"/>
    <x v="120"/>
    <x v="0"/>
    <n v="15"/>
    <x v="2"/>
    <s v="Yes"/>
    <n v="30"/>
    <s v="Yes"/>
    <x v="0"/>
    <n v="7"/>
    <n v="58"/>
  </r>
  <r>
    <n v="3353"/>
    <s v="Larissa Gomes"/>
    <x v="2"/>
    <x v="121"/>
    <x v="1"/>
    <n v="10"/>
    <x v="0"/>
    <s v="No"/>
    <s v="-"/>
    <s v="Yes"/>
    <x v="0"/>
    <n v="10"/>
    <n v="20"/>
  </r>
  <r>
    <n v="3354"/>
    <s v="Márcio Silva"/>
    <x v="1"/>
    <x v="122"/>
    <x v="0"/>
    <n v="5"/>
    <x v="1"/>
    <s v="No"/>
    <s v="-"/>
    <s v="No"/>
    <x v="1"/>
    <n v="0"/>
    <n v="5"/>
  </r>
  <r>
    <n v="3355"/>
    <s v="Nadia Costa"/>
    <x v="0"/>
    <x v="123"/>
    <x v="1"/>
    <n v="15"/>
    <x v="0"/>
    <s v="Yes"/>
    <n v="30"/>
    <s v="Yes"/>
    <x v="0"/>
    <n v="20"/>
    <n v="45"/>
  </r>
  <r>
    <n v="3356"/>
    <s v="Oscar Almeida"/>
    <x v="2"/>
    <x v="124"/>
    <x v="0"/>
    <n v="10"/>
    <x v="2"/>
    <s v="No"/>
    <s v="-"/>
    <s v="Yes"/>
    <x v="0"/>
    <n v="15"/>
    <n v="15"/>
  </r>
  <r>
    <n v="3357"/>
    <s v="Patricia Soares"/>
    <x v="1"/>
    <x v="125"/>
    <x v="1"/>
    <n v="5"/>
    <x v="0"/>
    <s v="No"/>
    <s v="-"/>
    <s v="No"/>
    <x v="1"/>
    <n v="1"/>
    <n v="4"/>
  </r>
  <r>
    <n v="3358"/>
    <s v="Quênia Barros"/>
    <x v="0"/>
    <x v="126"/>
    <x v="0"/>
    <n v="15"/>
    <x v="1"/>
    <s v="Yes"/>
    <n v="30"/>
    <s v="Yes"/>
    <x v="0"/>
    <n v="3"/>
    <n v="62"/>
  </r>
  <r>
    <n v="3359"/>
    <s v="Rafael Torres"/>
    <x v="2"/>
    <x v="127"/>
    <x v="1"/>
    <n v="10"/>
    <x v="0"/>
    <s v="No"/>
    <s v="-"/>
    <s v="Yes"/>
    <x v="0"/>
    <n v="10"/>
    <n v="20"/>
  </r>
  <r>
    <n v="3360"/>
    <s v="Silvia Nascimento"/>
    <x v="1"/>
    <x v="128"/>
    <x v="0"/>
    <n v="5"/>
    <x v="2"/>
    <s v="No"/>
    <s v="-"/>
    <s v="No"/>
    <x v="1"/>
    <n v="0"/>
    <n v="5"/>
  </r>
  <r>
    <n v="3361"/>
    <s v="Tiago Mendes"/>
    <x v="0"/>
    <x v="129"/>
    <x v="1"/>
    <n v="15"/>
    <x v="0"/>
    <s v="Yes"/>
    <n v="30"/>
    <s v="Yes"/>
    <x v="0"/>
    <n v="15"/>
    <n v="50"/>
  </r>
  <r>
    <n v="3362"/>
    <s v="Ursula Silva"/>
    <x v="2"/>
    <x v="130"/>
    <x v="0"/>
    <n v="10"/>
    <x v="1"/>
    <s v="No"/>
    <s v="-"/>
    <s v="Yes"/>
    <x v="0"/>
    <n v="15"/>
    <n v="15"/>
  </r>
  <r>
    <n v="3363"/>
    <s v="Vanessa Moraes"/>
    <x v="1"/>
    <x v="131"/>
    <x v="1"/>
    <n v="5"/>
    <x v="0"/>
    <s v="No"/>
    <s v="-"/>
    <s v="No"/>
    <x v="1"/>
    <n v="1"/>
    <n v="4"/>
  </r>
  <r>
    <n v="3364"/>
    <s v="Waldir Junior"/>
    <x v="0"/>
    <x v="132"/>
    <x v="0"/>
    <n v="15"/>
    <x v="2"/>
    <s v="Yes"/>
    <n v="30"/>
    <s v="Yes"/>
    <x v="0"/>
    <n v="7"/>
    <n v="58"/>
  </r>
  <r>
    <n v="3365"/>
    <s v="Xavier Lopes"/>
    <x v="2"/>
    <x v="133"/>
    <x v="1"/>
    <n v="10"/>
    <x v="0"/>
    <s v="No"/>
    <s v="-"/>
    <s v="Yes"/>
    <x v="0"/>
    <n v="10"/>
    <n v="20"/>
  </r>
  <r>
    <n v="3366"/>
    <s v="Yolanda Freitas"/>
    <x v="1"/>
    <x v="134"/>
    <x v="0"/>
    <n v="5"/>
    <x v="0"/>
    <s v="No"/>
    <s v="-"/>
    <s v="No"/>
    <x v="1"/>
    <n v="0"/>
    <n v="5"/>
  </r>
  <r>
    <n v="3367"/>
    <s v="Zacarias Nunes"/>
    <x v="0"/>
    <x v="135"/>
    <x v="1"/>
    <n v="15"/>
    <x v="2"/>
    <s v="Yes"/>
    <n v="30"/>
    <s v="Yes"/>
    <x v="0"/>
    <n v="7"/>
    <n v="58"/>
  </r>
  <r>
    <n v="3368"/>
    <s v="Ana Clara Barreto"/>
    <x v="2"/>
    <x v="136"/>
    <x v="0"/>
    <n v="10"/>
    <x v="1"/>
    <s v="No"/>
    <s v="-"/>
    <s v="Yes"/>
    <x v="0"/>
    <n v="10"/>
    <n v="20"/>
  </r>
  <r>
    <n v="3369"/>
    <s v="Bruno Henrique"/>
    <x v="1"/>
    <x v="137"/>
    <x v="1"/>
    <n v="5"/>
    <x v="2"/>
    <s v="No"/>
    <s v="-"/>
    <s v="No"/>
    <x v="1"/>
    <n v="1"/>
    <n v="4"/>
  </r>
  <r>
    <n v="3370"/>
    <s v="Carlos Eduardo"/>
    <x v="0"/>
    <x v="138"/>
    <x v="0"/>
    <n v="15"/>
    <x v="0"/>
    <s v="Yes"/>
    <n v="30"/>
    <s v="Yes"/>
    <x v="0"/>
    <n v="15"/>
    <n v="50"/>
  </r>
  <r>
    <n v="3371"/>
    <s v="Débora Lima"/>
    <x v="2"/>
    <x v="139"/>
    <x v="1"/>
    <n v="10"/>
    <x v="0"/>
    <s v="No"/>
    <s v="-"/>
    <s v="Yes"/>
    <x v="0"/>
    <n v="5"/>
    <n v="25"/>
  </r>
  <r>
    <n v="3372"/>
    <s v="Elisa Neves"/>
    <x v="1"/>
    <x v="140"/>
    <x v="0"/>
    <n v="5"/>
    <x v="1"/>
    <s v="No"/>
    <s v="-"/>
    <s v="No"/>
    <x v="1"/>
    <n v="0"/>
    <n v="5"/>
  </r>
  <r>
    <n v="3373"/>
    <s v="Fabiano Gomes"/>
    <x v="0"/>
    <x v="141"/>
    <x v="1"/>
    <n v="15"/>
    <x v="2"/>
    <s v="Yes"/>
    <n v="30"/>
    <s v="Yes"/>
    <x v="0"/>
    <n v="20"/>
    <n v="45"/>
  </r>
  <r>
    <n v="3374"/>
    <s v="Gisele Oliveira"/>
    <x v="2"/>
    <x v="142"/>
    <x v="0"/>
    <n v="10"/>
    <x v="2"/>
    <s v="No"/>
    <s v="-"/>
    <s v="Yes"/>
    <x v="0"/>
    <n v="12"/>
    <n v="18"/>
  </r>
  <r>
    <n v="3375"/>
    <s v="Héctor Silva"/>
    <x v="1"/>
    <x v="143"/>
    <x v="1"/>
    <n v="5"/>
    <x v="0"/>
    <s v="No"/>
    <s v="-"/>
    <s v="No"/>
    <x v="1"/>
    <n v="2"/>
    <n v="3"/>
  </r>
  <r>
    <n v="3376"/>
    <s v="Igor Martins"/>
    <x v="0"/>
    <x v="144"/>
    <x v="0"/>
    <n v="15"/>
    <x v="1"/>
    <s v="Yes"/>
    <n v="30"/>
    <s v="Yes"/>
    <x v="0"/>
    <n v="5"/>
    <n v="60"/>
  </r>
  <r>
    <n v="3377"/>
    <s v="Joana Figueiredo"/>
    <x v="2"/>
    <x v="145"/>
    <x v="1"/>
    <n v="10"/>
    <x v="0"/>
    <s v="No"/>
    <s v="-"/>
    <s v="Yes"/>
    <x v="0"/>
    <n v="10"/>
    <n v="20"/>
  </r>
  <r>
    <n v="3378"/>
    <s v="Kleber Machado"/>
    <x v="1"/>
    <x v="146"/>
    <x v="0"/>
    <n v="5"/>
    <x v="2"/>
    <s v="No"/>
    <s v="-"/>
    <s v="No"/>
    <x v="1"/>
    <n v="0"/>
    <n v="5"/>
  </r>
  <r>
    <n v="3379"/>
    <s v="Luciana Santos"/>
    <x v="0"/>
    <x v="147"/>
    <x v="1"/>
    <n v="15"/>
    <x v="0"/>
    <s v="Yes"/>
    <n v="30"/>
    <s v="Yes"/>
    <x v="0"/>
    <n v="3"/>
    <n v="62"/>
  </r>
  <r>
    <n v="3380"/>
    <s v="Marcos Teixeira"/>
    <x v="2"/>
    <x v="148"/>
    <x v="0"/>
    <n v="10"/>
    <x v="1"/>
    <s v="No"/>
    <s v="-"/>
    <s v="Yes"/>
    <x v="0"/>
    <n v="15"/>
    <n v="15"/>
  </r>
  <r>
    <n v="3381"/>
    <s v="Natalia Costa"/>
    <x v="1"/>
    <x v="149"/>
    <x v="1"/>
    <n v="5"/>
    <x v="0"/>
    <s v="No"/>
    <s v="-"/>
    <s v="No"/>
    <x v="1"/>
    <n v="1"/>
    <n v="4"/>
  </r>
  <r>
    <n v="3382"/>
    <s v="Oscar Ribeiro"/>
    <x v="0"/>
    <x v="150"/>
    <x v="0"/>
    <n v="15"/>
    <x v="2"/>
    <s v="Yes"/>
    <n v="30"/>
    <s v="Yes"/>
    <x v="0"/>
    <n v="7"/>
    <n v="58"/>
  </r>
  <r>
    <n v="3383"/>
    <s v="Patricia Almeida"/>
    <x v="2"/>
    <x v="151"/>
    <x v="1"/>
    <n v="10"/>
    <x v="0"/>
    <s v="No"/>
    <s v="-"/>
    <s v="Yes"/>
    <x v="0"/>
    <n v="10"/>
    <n v="20"/>
  </r>
  <r>
    <n v="3384"/>
    <s v="Quirino Junior"/>
    <x v="1"/>
    <x v="152"/>
    <x v="0"/>
    <n v="5"/>
    <x v="1"/>
    <s v="No"/>
    <s v="-"/>
    <s v="No"/>
    <x v="1"/>
    <n v="0"/>
    <n v="5"/>
  </r>
  <r>
    <n v="3385"/>
    <s v="Renata Machado"/>
    <x v="0"/>
    <x v="153"/>
    <x v="1"/>
    <n v="15"/>
    <x v="0"/>
    <s v="Yes"/>
    <n v="30"/>
    <s v="Yes"/>
    <x v="0"/>
    <n v="20"/>
    <n v="45"/>
  </r>
  <r>
    <n v="3386"/>
    <s v="Sônia Alves"/>
    <x v="2"/>
    <x v="154"/>
    <x v="0"/>
    <n v="10"/>
    <x v="2"/>
    <s v="No"/>
    <s v="-"/>
    <s v="Yes"/>
    <x v="0"/>
    <n v="15"/>
    <n v="15"/>
  </r>
  <r>
    <n v="3387"/>
    <s v="Tiago Nunes"/>
    <x v="1"/>
    <x v="155"/>
    <x v="1"/>
    <n v="5"/>
    <x v="0"/>
    <s v="No"/>
    <s v="-"/>
    <s v="No"/>
    <x v="1"/>
    <n v="1"/>
    <n v="4"/>
  </r>
  <r>
    <n v="3388"/>
    <s v="Ulysses Pereira"/>
    <x v="0"/>
    <x v="156"/>
    <x v="0"/>
    <n v="15"/>
    <x v="1"/>
    <s v="Yes"/>
    <n v="30"/>
    <s v="Yes"/>
    <x v="0"/>
    <n v="3"/>
    <n v="62"/>
  </r>
  <r>
    <n v="3389"/>
    <s v="Vanessa Lima"/>
    <x v="2"/>
    <x v="157"/>
    <x v="1"/>
    <n v="10"/>
    <x v="0"/>
    <s v="No"/>
    <s v="-"/>
    <s v="Yes"/>
    <x v="0"/>
    <n v="10"/>
    <n v="20"/>
  </r>
  <r>
    <n v="3390"/>
    <s v="Wagner Santos"/>
    <x v="1"/>
    <x v="158"/>
    <x v="0"/>
    <n v="5"/>
    <x v="2"/>
    <s v="No"/>
    <s v="-"/>
    <s v="No"/>
    <x v="1"/>
    <n v="0"/>
    <n v="5"/>
  </r>
  <r>
    <n v="3391"/>
    <s v="Xuxa Meneghel"/>
    <x v="0"/>
    <x v="159"/>
    <x v="1"/>
    <n v="15"/>
    <x v="0"/>
    <s v="Yes"/>
    <n v="30"/>
    <s v="Yes"/>
    <x v="0"/>
    <n v="15"/>
    <n v="50"/>
  </r>
  <r>
    <n v="3392"/>
    <s v="Yasmin Silva"/>
    <x v="2"/>
    <x v="160"/>
    <x v="0"/>
    <n v="10"/>
    <x v="1"/>
    <s v="No"/>
    <s v="-"/>
    <s v="Yes"/>
    <x v="0"/>
    <n v="15"/>
    <n v="15"/>
  </r>
  <r>
    <n v="3393"/>
    <s v="Zacarias de Souza"/>
    <x v="1"/>
    <x v="161"/>
    <x v="1"/>
    <n v="5"/>
    <x v="0"/>
    <s v="No"/>
    <s v="-"/>
    <s v="No"/>
    <x v="1"/>
    <n v="1"/>
    <n v="4"/>
  </r>
  <r>
    <n v="3394"/>
    <s v="André Lima"/>
    <x v="0"/>
    <x v="162"/>
    <x v="0"/>
    <n v="15"/>
    <x v="2"/>
    <s v="Yes"/>
    <n v="30"/>
    <s v="Yes"/>
    <x v="0"/>
    <n v="7"/>
    <n v="58"/>
  </r>
  <r>
    <n v="3395"/>
    <s v="Bianca Freitas"/>
    <x v="2"/>
    <x v="163"/>
    <x v="1"/>
    <n v="10"/>
    <x v="0"/>
    <s v="No"/>
    <s v="-"/>
    <s v="Yes"/>
    <x v="0"/>
    <n v="10"/>
    <n v="20"/>
  </r>
  <r>
    <n v="3396"/>
    <s v="Caio Mendes"/>
    <x v="1"/>
    <x v="164"/>
    <x v="0"/>
    <n v="5"/>
    <x v="1"/>
    <s v="No"/>
    <s v="-"/>
    <s v="No"/>
    <x v="1"/>
    <n v="0"/>
    <n v="5"/>
  </r>
  <r>
    <n v="3397"/>
    <s v="Daniela Moura"/>
    <x v="0"/>
    <x v="165"/>
    <x v="1"/>
    <n v="15"/>
    <x v="0"/>
    <s v="Yes"/>
    <n v="30"/>
    <s v="Yes"/>
    <x v="0"/>
    <n v="20"/>
    <n v="45"/>
  </r>
  <r>
    <n v="3398"/>
    <s v="Eduardo Costa"/>
    <x v="2"/>
    <x v="166"/>
    <x v="0"/>
    <n v="10"/>
    <x v="2"/>
    <s v="No"/>
    <s v="-"/>
    <s v="Yes"/>
    <x v="0"/>
    <n v="15"/>
    <n v="15"/>
  </r>
  <r>
    <n v="3399"/>
    <s v="Fernanda Gomes"/>
    <x v="1"/>
    <x v="167"/>
    <x v="1"/>
    <n v="5"/>
    <x v="0"/>
    <s v="No"/>
    <s v="-"/>
    <s v="No"/>
    <x v="1"/>
    <n v="1"/>
    <n v="4"/>
  </r>
  <r>
    <n v="3400"/>
    <s v="Guilherme Souza"/>
    <x v="0"/>
    <x v="168"/>
    <x v="0"/>
    <n v="15"/>
    <x v="1"/>
    <s v="Yes"/>
    <n v="30"/>
    <s v="Yes"/>
    <x v="0"/>
    <n v="5"/>
    <n v="60"/>
  </r>
  <r>
    <n v="3401"/>
    <s v="Helena Ribeiro"/>
    <x v="2"/>
    <x v="169"/>
    <x v="1"/>
    <n v="10"/>
    <x v="0"/>
    <s v="No"/>
    <s v="-"/>
    <s v="Yes"/>
    <x v="0"/>
    <n v="10"/>
    <n v="20"/>
  </r>
  <r>
    <n v="3402"/>
    <s v="Igor Santos"/>
    <x v="1"/>
    <x v="170"/>
    <x v="0"/>
    <n v="5"/>
    <x v="2"/>
    <s v="No"/>
    <s v="-"/>
    <s v="No"/>
    <x v="1"/>
    <n v="0"/>
    <n v="5"/>
  </r>
  <r>
    <n v="3403"/>
    <s v="João Carvalho"/>
    <x v="0"/>
    <x v="171"/>
    <x v="1"/>
    <n v="15"/>
    <x v="0"/>
    <s v="Yes"/>
    <n v="30"/>
    <s v="Yes"/>
    <x v="0"/>
    <n v="3"/>
    <n v="62"/>
  </r>
  <r>
    <n v="3404"/>
    <s v="Klara Fagundes"/>
    <x v="2"/>
    <x v="172"/>
    <x v="0"/>
    <n v="10"/>
    <x v="1"/>
    <s v="No"/>
    <s v="-"/>
    <s v="Yes"/>
    <x v="0"/>
    <n v="15"/>
    <n v="15"/>
  </r>
  <r>
    <n v="3405"/>
    <s v="Lúcia Mendonça"/>
    <x v="1"/>
    <x v="173"/>
    <x v="1"/>
    <n v="5"/>
    <x v="0"/>
    <s v="No"/>
    <s v="-"/>
    <s v="No"/>
    <x v="1"/>
    <n v="1"/>
    <n v="4"/>
  </r>
  <r>
    <n v="3406"/>
    <s v="Marcelo Novaes"/>
    <x v="1"/>
    <x v="174"/>
    <x v="0"/>
    <n v="5"/>
    <x v="0"/>
    <s v="No"/>
    <s v="-"/>
    <s v="No"/>
    <x v="1"/>
    <n v="0"/>
    <n v="5"/>
  </r>
  <r>
    <n v="3407"/>
    <s v="Nina Pacheco"/>
    <x v="0"/>
    <x v="175"/>
    <x v="1"/>
    <n v="15"/>
    <x v="2"/>
    <s v="Yes"/>
    <n v="30"/>
    <s v="Yes"/>
    <x v="0"/>
    <n v="7"/>
    <n v="58"/>
  </r>
  <r>
    <n v="3408"/>
    <s v="Olívia Rios"/>
    <x v="2"/>
    <x v="176"/>
    <x v="0"/>
    <n v="10"/>
    <x v="1"/>
    <s v="No"/>
    <s v="-"/>
    <s v="Yes"/>
    <x v="0"/>
    <n v="10"/>
    <n v="20"/>
  </r>
  <r>
    <n v="3409"/>
    <s v="Paulo Quintana"/>
    <x v="1"/>
    <x v="177"/>
    <x v="1"/>
    <n v="5"/>
    <x v="2"/>
    <s v="No"/>
    <s v="-"/>
    <s v="No"/>
    <x v="1"/>
    <n v="1"/>
    <n v="4"/>
  </r>
  <r>
    <n v="3410"/>
    <s v="Raquel Domingos"/>
    <x v="0"/>
    <x v="178"/>
    <x v="0"/>
    <n v="15"/>
    <x v="0"/>
    <s v="Yes"/>
    <n v="30"/>
    <s v="Yes"/>
    <x v="0"/>
    <n v="15"/>
    <n v="50"/>
  </r>
  <r>
    <n v="3411"/>
    <s v="Samuel Viana"/>
    <x v="2"/>
    <x v="179"/>
    <x v="1"/>
    <n v="10"/>
    <x v="0"/>
    <s v="No"/>
    <s v="-"/>
    <s v="Yes"/>
    <x v="0"/>
    <n v="5"/>
    <n v="25"/>
  </r>
  <r>
    <n v="3412"/>
    <s v="Tatiane Rocha"/>
    <x v="1"/>
    <x v="180"/>
    <x v="0"/>
    <n v="5"/>
    <x v="1"/>
    <s v="No"/>
    <s v="-"/>
    <s v="No"/>
    <x v="1"/>
    <n v="0"/>
    <n v="5"/>
  </r>
  <r>
    <n v="3413"/>
    <s v="Ulysses Farias"/>
    <x v="0"/>
    <x v="181"/>
    <x v="1"/>
    <n v="15"/>
    <x v="2"/>
    <s v="Yes"/>
    <n v="30"/>
    <s v="Yes"/>
    <x v="0"/>
    <n v="20"/>
    <n v="45"/>
  </r>
  <r>
    <n v="3414"/>
    <s v="Vanessa Moreira"/>
    <x v="2"/>
    <x v="182"/>
    <x v="0"/>
    <n v="10"/>
    <x v="2"/>
    <s v="No"/>
    <s v="-"/>
    <s v="Yes"/>
    <x v="0"/>
    <n v="12"/>
    <n v="18"/>
  </r>
  <r>
    <n v="3415"/>
    <s v="William Carvalho"/>
    <x v="1"/>
    <x v="183"/>
    <x v="1"/>
    <n v="5"/>
    <x v="0"/>
    <s v="No"/>
    <s v="-"/>
    <s v="No"/>
    <x v="1"/>
    <n v="2"/>
    <n v="3"/>
  </r>
  <r>
    <n v="3416"/>
    <s v="Ximena Barros"/>
    <x v="0"/>
    <x v="184"/>
    <x v="0"/>
    <n v="15"/>
    <x v="1"/>
    <s v="Yes"/>
    <n v="30"/>
    <s v="Yes"/>
    <x v="0"/>
    <n v="5"/>
    <n v="60"/>
  </r>
  <r>
    <n v="3417"/>
    <s v="Yara Machado"/>
    <x v="2"/>
    <x v="185"/>
    <x v="1"/>
    <n v="10"/>
    <x v="0"/>
    <s v="No"/>
    <s v="-"/>
    <s v="Yes"/>
    <x v="0"/>
    <n v="10"/>
    <n v="20"/>
  </r>
  <r>
    <n v="3418"/>
    <s v="Zacarias Costa"/>
    <x v="1"/>
    <x v="186"/>
    <x v="0"/>
    <n v="5"/>
    <x v="2"/>
    <s v="No"/>
    <s v="-"/>
    <s v="No"/>
    <x v="1"/>
    <n v="0"/>
    <n v="5"/>
  </r>
  <r>
    <n v="3419"/>
    <s v="André Lopes"/>
    <x v="0"/>
    <x v="187"/>
    <x v="1"/>
    <n v="15"/>
    <x v="0"/>
    <s v="Yes"/>
    <n v="30"/>
    <s v="Yes"/>
    <x v="0"/>
    <n v="3"/>
    <n v="62"/>
  </r>
  <r>
    <n v="3420"/>
    <s v="Beatriz Souza"/>
    <x v="2"/>
    <x v="188"/>
    <x v="0"/>
    <n v="10"/>
    <x v="1"/>
    <s v="No"/>
    <s v="-"/>
    <s v="Yes"/>
    <x v="0"/>
    <n v="15"/>
    <n v="15"/>
  </r>
  <r>
    <n v="3421"/>
    <s v="Caio Pereira"/>
    <x v="1"/>
    <x v="189"/>
    <x v="1"/>
    <n v="5"/>
    <x v="0"/>
    <s v="No"/>
    <s v="-"/>
    <s v="No"/>
    <x v="1"/>
    <n v="1"/>
    <n v="4"/>
  </r>
  <r>
    <n v="3422"/>
    <s v="Daniela Araújo"/>
    <x v="0"/>
    <x v="190"/>
    <x v="0"/>
    <n v="15"/>
    <x v="2"/>
    <s v="Yes"/>
    <n v="30"/>
    <s v="Yes"/>
    <x v="0"/>
    <n v="7"/>
    <n v="58"/>
  </r>
  <r>
    <n v="3423"/>
    <s v="Eduardo Santos"/>
    <x v="2"/>
    <x v="191"/>
    <x v="1"/>
    <n v="10"/>
    <x v="0"/>
    <s v="No"/>
    <s v="-"/>
    <s v="Yes"/>
    <x v="0"/>
    <n v="10"/>
    <n v="20"/>
  </r>
  <r>
    <n v="3424"/>
    <s v="Fernanda Lima"/>
    <x v="1"/>
    <x v="192"/>
    <x v="0"/>
    <n v="5"/>
    <x v="1"/>
    <s v="No"/>
    <s v="-"/>
    <s v="No"/>
    <x v="1"/>
    <n v="0"/>
    <n v="5"/>
  </r>
  <r>
    <n v="3425"/>
    <s v="Gabriel Teixeira"/>
    <x v="0"/>
    <x v="193"/>
    <x v="1"/>
    <n v="15"/>
    <x v="0"/>
    <s v="Yes"/>
    <n v="30"/>
    <s v="Yes"/>
    <x v="0"/>
    <n v="20"/>
    <n v="45"/>
  </r>
  <r>
    <n v="3426"/>
    <s v="Helena Ribeiro"/>
    <x v="2"/>
    <x v="194"/>
    <x v="0"/>
    <n v="10"/>
    <x v="2"/>
    <s v="No"/>
    <s v="-"/>
    <s v="Yes"/>
    <x v="0"/>
    <n v="15"/>
    <n v="15"/>
  </r>
  <r>
    <n v="3427"/>
    <s v="Igor Mendes"/>
    <x v="1"/>
    <x v="195"/>
    <x v="1"/>
    <n v="5"/>
    <x v="0"/>
    <s v="No"/>
    <s v="-"/>
    <s v="No"/>
    <x v="1"/>
    <n v="1"/>
    <n v="4"/>
  </r>
  <r>
    <n v="3428"/>
    <s v="Joana Silveira"/>
    <x v="0"/>
    <x v="196"/>
    <x v="0"/>
    <n v="15"/>
    <x v="1"/>
    <s v="Yes"/>
    <n v="30"/>
    <s v="Yes"/>
    <x v="0"/>
    <n v="3"/>
    <n v="62"/>
  </r>
  <r>
    <n v="3429"/>
    <s v="Lucas Martins"/>
    <x v="2"/>
    <x v="197"/>
    <x v="1"/>
    <n v="10"/>
    <x v="0"/>
    <s v="No"/>
    <s v="-"/>
    <s v="Yes"/>
    <x v="0"/>
    <n v="10"/>
    <n v="20"/>
  </r>
  <r>
    <n v="3430"/>
    <s v="Marcela Gouveia"/>
    <x v="1"/>
    <x v="198"/>
    <x v="0"/>
    <n v="5"/>
    <x v="2"/>
    <s v="No"/>
    <s v="-"/>
    <s v="No"/>
    <x v="1"/>
    <n v="0"/>
    <n v="5"/>
  </r>
  <r>
    <n v="3431"/>
    <s v="Nicolas Borges"/>
    <x v="0"/>
    <x v="199"/>
    <x v="1"/>
    <n v="15"/>
    <x v="0"/>
    <s v="Yes"/>
    <n v="30"/>
    <s v="Yes"/>
    <x v="0"/>
    <n v="15"/>
    <n v="50"/>
  </r>
  <r>
    <n v="3432"/>
    <s v="Olivia Freitas"/>
    <x v="2"/>
    <x v="200"/>
    <x v="0"/>
    <n v="10"/>
    <x v="1"/>
    <s v="No"/>
    <s v="-"/>
    <s v="Yes"/>
    <x v="0"/>
    <n v="15"/>
    <n v="15"/>
  </r>
  <r>
    <n v="3433"/>
    <s v="Paulo Nogueira"/>
    <x v="1"/>
    <x v="201"/>
    <x v="1"/>
    <n v="5"/>
    <x v="0"/>
    <s v="No"/>
    <s v="-"/>
    <s v="No"/>
    <x v="1"/>
    <n v="1"/>
    <n v="4"/>
  </r>
  <r>
    <n v="3434"/>
    <s v="Raquel Andrade"/>
    <x v="0"/>
    <x v="202"/>
    <x v="0"/>
    <n v="15"/>
    <x v="2"/>
    <s v="Yes"/>
    <n v="30"/>
    <s v="Yes"/>
    <x v="0"/>
    <n v="7"/>
    <n v="58"/>
  </r>
  <r>
    <n v="3435"/>
    <s v="Sônia Carvalho"/>
    <x v="2"/>
    <x v="203"/>
    <x v="1"/>
    <n v="10"/>
    <x v="0"/>
    <s v="No"/>
    <s v="-"/>
    <s v="Yes"/>
    <x v="0"/>
    <n v="10"/>
    <n v="20"/>
  </r>
  <r>
    <n v="3436"/>
    <s v="Tiago Rodrigues"/>
    <x v="1"/>
    <x v="204"/>
    <x v="0"/>
    <n v="5"/>
    <x v="0"/>
    <s v="No"/>
    <s v="-"/>
    <s v="No"/>
    <x v="1"/>
    <n v="0"/>
    <n v="5"/>
  </r>
  <r>
    <n v="3437"/>
    <s v="Ursula Monteiro"/>
    <x v="0"/>
    <x v="205"/>
    <x v="1"/>
    <n v="15"/>
    <x v="2"/>
    <s v="Yes"/>
    <n v="30"/>
    <s v="Yes"/>
    <x v="0"/>
    <n v="7"/>
    <n v="58"/>
  </r>
  <r>
    <n v="3438"/>
    <s v="Vanessa Pereira"/>
    <x v="2"/>
    <x v="206"/>
    <x v="0"/>
    <n v="10"/>
    <x v="1"/>
    <s v="No"/>
    <s v="-"/>
    <s v="Yes"/>
    <x v="0"/>
    <n v="10"/>
    <n v="20"/>
  </r>
  <r>
    <n v="3439"/>
    <s v="Walter Silva"/>
    <x v="1"/>
    <x v="207"/>
    <x v="1"/>
    <n v="5"/>
    <x v="2"/>
    <s v="No"/>
    <s v="-"/>
    <s v="No"/>
    <x v="1"/>
    <n v="1"/>
    <n v="4"/>
  </r>
  <r>
    <n v="3440"/>
    <s v="Xavier Almeida"/>
    <x v="0"/>
    <x v="208"/>
    <x v="0"/>
    <n v="15"/>
    <x v="0"/>
    <s v="Yes"/>
    <n v="30"/>
    <s v="Yes"/>
    <x v="0"/>
    <n v="15"/>
    <n v="50"/>
  </r>
  <r>
    <n v="3441"/>
    <s v="Yasmine Correia"/>
    <x v="2"/>
    <x v="209"/>
    <x v="1"/>
    <n v="10"/>
    <x v="0"/>
    <s v="No"/>
    <s v="-"/>
    <s v="Yes"/>
    <x v="0"/>
    <n v="5"/>
    <n v="25"/>
  </r>
  <r>
    <n v="3442"/>
    <s v="Zacarias Almeida"/>
    <x v="1"/>
    <x v="210"/>
    <x v="0"/>
    <n v="5"/>
    <x v="1"/>
    <s v="No"/>
    <s v="-"/>
    <s v="No"/>
    <x v="1"/>
    <n v="0"/>
    <n v="5"/>
  </r>
  <r>
    <n v="3443"/>
    <s v="Amanda Costa"/>
    <x v="0"/>
    <x v="211"/>
    <x v="1"/>
    <n v="15"/>
    <x v="2"/>
    <s v="Yes"/>
    <n v="30"/>
    <s v="Yes"/>
    <x v="0"/>
    <n v="20"/>
    <n v="45"/>
  </r>
  <r>
    <n v="3444"/>
    <s v="Bruno Ferreira"/>
    <x v="2"/>
    <x v="212"/>
    <x v="0"/>
    <n v="10"/>
    <x v="2"/>
    <s v="No"/>
    <s v="-"/>
    <s v="Yes"/>
    <x v="0"/>
    <n v="12"/>
    <n v="18"/>
  </r>
  <r>
    <n v="3445"/>
    <s v="Carla Dias"/>
    <x v="1"/>
    <x v="213"/>
    <x v="1"/>
    <n v="5"/>
    <x v="0"/>
    <s v="No"/>
    <s v="-"/>
    <s v="No"/>
    <x v="1"/>
    <n v="2"/>
    <n v="3"/>
  </r>
  <r>
    <n v="3446"/>
    <s v="Diogo Martins"/>
    <x v="0"/>
    <x v="214"/>
    <x v="0"/>
    <n v="15"/>
    <x v="1"/>
    <s v="Yes"/>
    <n v="30"/>
    <s v="Yes"/>
    <x v="0"/>
    <n v="5"/>
    <n v="60"/>
  </r>
  <r>
    <n v="3447"/>
    <s v="Elisa Campos"/>
    <x v="2"/>
    <x v="215"/>
    <x v="1"/>
    <n v="10"/>
    <x v="0"/>
    <s v="No"/>
    <s v="-"/>
    <s v="Yes"/>
    <x v="0"/>
    <n v="10"/>
    <n v="20"/>
  </r>
  <r>
    <n v="3448"/>
    <s v="Fabiana Lima"/>
    <x v="1"/>
    <x v="216"/>
    <x v="0"/>
    <n v="5"/>
    <x v="2"/>
    <s v="No"/>
    <s v="-"/>
    <s v="No"/>
    <x v="1"/>
    <n v="0"/>
    <n v="5"/>
  </r>
  <r>
    <n v="3449"/>
    <s v="Gabriel Santos"/>
    <x v="0"/>
    <x v="217"/>
    <x v="1"/>
    <n v="15"/>
    <x v="0"/>
    <s v="Yes"/>
    <n v="30"/>
    <s v="Yes"/>
    <x v="0"/>
    <n v="3"/>
    <n v="62"/>
  </r>
  <r>
    <n v="3450"/>
    <s v="Helena Ferreira"/>
    <x v="2"/>
    <x v="218"/>
    <x v="0"/>
    <n v="10"/>
    <x v="1"/>
    <s v="No"/>
    <s v="-"/>
    <s v="Yes"/>
    <x v="0"/>
    <n v="15"/>
    <n v="15"/>
  </r>
  <r>
    <n v="3451"/>
    <s v="Ígor Nunes"/>
    <x v="1"/>
    <x v="219"/>
    <x v="1"/>
    <n v="5"/>
    <x v="0"/>
    <s v="No"/>
    <s v="-"/>
    <s v="No"/>
    <x v="1"/>
    <n v="1"/>
    <n v="4"/>
  </r>
  <r>
    <n v="3452"/>
    <s v="Joana Silveira"/>
    <x v="0"/>
    <x v="220"/>
    <x v="0"/>
    <n v="15"/>
    <x v="2"/>
    <s v="Yes"/>
    <n v="30"/>
    <s v="Yes"/>
    <x v="0"/>
    <n v="7"/>
    <n v="58"/>
  </r>
  <r>
    <n v="3453"/>
    <s v="Kléber Oliveira"/>
    <x v="2"/>
    <x v="221"/>
    <x v="1"/>
    <n v="10"/>
    <x v="0"/>
    <s v="No"/>
    <s v="-"/>
    <s v="Yes"/>
    <x v="0"/>
    <n v="10"/>
    <n v="20"/>
  </r>
  <r>
    <n v="3454"/>
    <s v="Luciana Morais"/>
    <x v="1"/>
    <x v="222"/>
    <x v="0"/>
    <n v="5"/>
    <x v="1"/>
    <s v="No"/>
    <s v="-"/>
    <s v="No"/>
    <x v="1"/>
    <n v="0"/>
    <n v="5"/>
  </r>
  <r>
    <n v="3455"/>
    <s v="Marcos Vinícius"/>
    <x v="0"/>
    <x v="223"/>
    <x v="1"/>
    <n v="15"/>
    <x v="0"/>
    <s v="Yes"/>
    <n v="30"/>
    <s v="Yes"/>
    <x v="0"/>
    <n v="20"/>
    <n v="45"/>
  </r>
  <r>
    <n v="3456"/>
    <s v="Natália Barros"/>
    <x v="2"/>
    <x v="224"/>
    <x v="0"/>
    <n v="10"/>
    <x v="2"/>
    <s v="No"/>
    <s v="-"/>
    <s v="Yes"/>
    <x v="0"/>
    <n v="15"/>
    <n v="15"/>
  </r>
  <r>
    <n v="3457"/>
    <s v="Oscar Sampaio"/>
    <x v="1"/>
    <x v="225"/>
    <x v="1"/>
    <n v="5"/>
    <x v="0"/>
    <s v="No"/>
    <s v="-"/>
    <s v="No"/>
    <x v="1"/>
    <n v="1"/>
    <n v="4"/>
  </r>
  <r>
    <n v="3458"/>
    <s v="Patrícia Leite"/>
    <x v="0"/>
    <x v="226"/>
    <x v="0"/>
    <n v="15"/>
    <x v="1"/>
    <s v="Yes"/>
    <n v="30"/>
    <s v="Yes"/>
    <x v="0"/>
    <n v="3"/>
    <n v="62"/>
  </r>
  <r>
    <n v="3459"/>
    <s v="Quênia Rocha"/>
    <x v="2"/>
    <x v="227"/>
    <x v="1"/>
    <n v="10"/>
    <x v="0"/>
    <s v="No"/>
    <s v="-"/>
    <s v="Yes"/>
    <x v="0"/>
    <n v="10"/>
    <n v="20"/>
  </r>
  <r>
    <n v="3460"/>
    <s v="Rafael Torres"/>
    <x v="1"/>
    <x v="228"/>
    <x v="0"/>
    <n v="5"/>
    <x v="2"/>
    <s v="No"/>
    <s v="-"/>
    <s v="No"/>
    <x v="1"/>
    <n v="0"/>
    <n v="5"/>
  </r>
  <r>
    <n v="3461"/>
    <s v="Sandra Gouveia"/>
    <x v="0"/>
    <x v="229"/>
    <x v="1"/>
    <n v="15"/>
    <x v="0"/>
    <s v="Yes"/>
    <n v="30"/>
    <s v="Yes"/>
    <x v="0"/>
    <n v="15"/>
    <n v="50"/>
  </r>
  <r>
    <n v="3462"/>
    <s v="Tiago Lacerda"/>
    <x v="2"/>
    <x v="230"/>
    <x v="0"/>
    <n v="10"/>
    <x v="1"/>
    <s v="No"/>
    <s v="-"/>
    <s v="Yes"/>
    <x v="0"/>
    <n v="15"/>
    <n v="15"/>
  </r>
  <r>
    <n v="3463"/>
    <s v="Ursula Fonseca"/>
    <x v="1"/>
    <x v="231"/>
    <x v="1"/>
    <n v="5"/>
    <x v="0"/>
    <s v="No"/>
    <s v="-"/>
    <s v="No"/>
    <x v="1"/>
    <n v="1"/>
    <n v="4"/>
  </r>
  <r>
    <n v="3464"/>
    <s v="Vanessa Andrade"/>
    <x v="0"/>
    <x v="232"/>
    <x v="0"/>
    <n v="15"/>
    <x v="2"/>
    <s v="Yes"/>
    <n v="30"/>
    <s v="Yes"/>
    <x v="0"/>
    <n v="7"/>
    <n v="58"/>
  </r>
  <r>
    <n v="3465"/>
    <s v="William Castro"/>
    <x v="2"/>
    <x v="233"/>
    <x v="1"/>
    <n v="10"/>
    <x v="0"/>
    <s v="No"/>
    <s v="-"/>
    <s v="Yes"/>
    <x v="0"/>
    <n v="10"/>
    <n v="20"/>
  </r>
  <r>
    <n v="3466"/>
    <s v="Xavier Monteiro"/>
    <x v="1"/>
    <x v="234"/>
    <x v="0"/>
    <n v="5"/>
    <x v="1"/>
    <s v="No"/>
    <s v="-"/>
    <s v="No"/>
    <x v="1"/>
    <n v="0"/>
    <n v="5"/>
  </r>
  <r>
    <n v="3467"/>
    <s v="Yasmin Figueira"/>
    <x v="0"/>
    <x v="235"/>
    <x v="1"/>
    <n v="15"/>
    <x v="0"/>
    <s v="Yes"/>
    <n v="30"/>
    <s v="Yes"/>
    <x v="0"/>
    <n v="15"/>
    <n v="50"/>
  </r>
  <r>
    <n v="3468"/>
    <s v="Zacarias Mendonça"/>
    <x v="2"/>
    <x v="236"/>
    <x v="0"/>
    <n v="10"/>
    <x v="2"/>
    <s v="No"/>
    <s v="-"/>
    <s v="Yes"/>
    <x v="0"/>
    <n v="12"/>
    <n v="18"/>
  </r>
  <r>
    <n v="3469"/>
    <s v="Amanda Menezes"/>
    <x v="1"/>
    <x v="237"/>
    <x v="1"/>
    <n v="5"/>
    <x v="0"/>
    <s v="No"/>
    <s v="-"/>
    <s v="No"/>
    <x v="1"/>
    <n v="2"/>
    <n v="3"/>
  </r>
  <r>
    <n v="3470"/>
    <s v="Bruno Santos"/>
    <x v="0"/>
    <x v="238"/>
    <x v="0"/>
    <n v="15"/>
    <x v="1"/>
    <s v="Yes"/>
    <n v="30"/>
    <s v="Yes"/>
    <x v="0"/>
    <n v="5"/>
    <n v="60"/>
  </r>
  <r>
    <n v="3471"/>
    <s v="Carla Ferreira"/>
    <x v="2"/>
    <x v="239"/>
    <x v="1"/>
    <n v="10"/>
    <x v="0"/>
    <s v="No"/>
    <s v="-"/>
    <s v="Yes"/>
    <x v="0"/>
    <n v="10"/>
    <n v="20"/>
  </r>
  <r>
    <n v="3472"/>
    <s v="Diogo Alves"/>
    <x v="1"/>
    <x v="240"/>
    <x v="0"/>
    <n v="5"/>
    <x v="2"/>
    <s v="No"/>
    <s v="-"/>
    <s v="No"/>
    <x v="1"/>
    <n v="0"/>
    <n v="5"/>
  </r>
  <r>
    <n v="3473"/>
    <s v="Elisa Neves"/>
    <x v="0"/>
    <x v="241"/>
    <x v="1"/>
    <n v="15"/>
    <x v="0"/>
    <s v="Yes"/>
    <n v="30"/>
    <s v="Yes"/>
    <x v="0"/>
    <n v="3"/>
    <n v="62"/>
  </r>
  <r>
    <n v="3474"/>
    <s v="Fabiano Pires"/>
    <x v="2"/>
    <x v="242"/>
    <x v="0"/>
    <n v="10"/>
    <x v="1"/>
    <s v="No"/>
    <s v="-"/>
    <s v="Yes"/>
    <x v="0"/>
    <n v="15"/>
    <n v="15"/>
  </r>
  <r>
    <n v="3475"/>
    <s v="Giovana Ribeiro"/>
    <x v="1"/>
    <x v="243"/>
    <x v="1"/>
    <n v="5"/>
    <x v="0"/>
    <s v="No"/>
    <s v="-"/>
    <s v="No"/>
    <x v="1"/>
    <n v="1"/>
    <n v="4"/>
  </r>
  <r>
    <n v="3476"/>
    <s v="Hélio Costa"/>
    <x v="0"/>
    <x v="244"/>
    <x v="0"/>
    <n v="15"/>
    <x v="2"/>
    <s v="Yes"/>
    <n v="30"/>
    <s v="Yes"/>
    <x v="0"/>
    <n v="7"/>
    <n v="58"/>
  </r>
  <r>
    <n v="3477"/>
    <s v="Íris Loureiro"/>
    <x v="2"/>
    <x v="245"/>
    <x v="1"/>
    <n v="10"/>
    <x v="0"/>
    <s v="No"/>
    <s v="-"/>
    <s v="Yes"/>
    <x v="0"/>
    <n v="10"/>
    <n v="20"/>
  </r>
  <r>
    <n v="3478"/>
    <s v="João Pereira"/>
    <x v="1"/>
    <x v="246"/>
    <x v="0"/>
    <n v="5"/>
    <x v="1"/>
    <s v="No"/>
    <s v="-"/>
    <s v="No"/>
    <x v="1"/>
    <n v="0"/>
    <n v="5"/>
  </r>
  <r>
    <n v="3479"/>
    <s v="Klara Silva"/>
    <x v="0"/>
    <x v="247"/>
    <x v="1"/>
    <n v="15"/>
    <x v="0"/>
    <s v="Yes"/>
    <n v="30"/>
    <s v="Yes"/>
    <x v="0"/>
    <n v="20"/>
    <n v="45"/>
  </r>
  <r>
    <n v="3480"/>
    <s v="Luciana Barros"/>
    <x v="2"/>
    <x v="248"/>
    <x v="0"/>
    <n v="10"/>
    <x v="2"/>
    <s v="No"/>
    <s v="-"/>
    <s v="Yes"/>
    <x v="0"/>
    <n v="15"/>
    <n v="15"/>
  </r>
  <r>
    <n v="3481"/>
    <s v="Marcos Gomes"/>
    <x v="1"/>
    <x v="249"/>
    <x v="1"/>
    <n v="5"/>
    <x v="0"/>
    <s v="No"/>
    <s v="-"/>
    <s v="No"/>
    <x v="1"/>
    <n v="1"/>
    <n v="4"/>
  </r>
  <r>
    <n v="3482"/>
    <s v="Natália Soares"/>
    <x v="0"/>
    <x v="250"/>
    <x v="0"/>
    <n v="15"/>
    <x v="1"/>
    <s v="Yes"/>
    <n v="30"/>
    <s v="Yes"/>
    <x v="0"/>
    <n v="3"/>
    <n v="62"/>
  </r>
  <r>
    <n v="3483"/>
    <s v="Oscar Machado"/>
    <x v="2"/>
    <x v="251"/>
    <x v="1"/>
    <n v="10"/>
    <x v="0"/>
    <s v="No"/>
    <s v="-"/>
    <s v="Yes"/>
    <x v="0"/>
    <n v="10"/>
    <n v="20"/>
  </r>
  <r>
    <n v="3484"/>
    <s v="Patrícia Lima"/>
    <x v="1"/>
    <x v="252"/>
    <x v="0"/>
    <n v="5"/>
    <x v="2"/>
    <s v="No"/>
    <s v="-"/>
    <s v="No"/>
    <x v="1"/>
    <n v="0"/>
    <n v="5"/>
  </r>
  <r>
    <n v="3485"/>
    <s v="Quirino Neto"/>
    <x v="0"/>
    <x v="253"/>
    <x v="1"/>
    <n v="15"/>
    <x v="0"/>
    <s v="Yes"/>
    <n v="30"/>
    <s v="Yes"/>
    <x v="0"/>
    <n v="15"/>
    <n v="50"/>
  </r>
  <r>
    <n v="3486"/>
    <s v="Rafaela Souza"/>
    <x v="1"/>
    <x v="254"/>
    <x v="0"/>
    <n v="5"/>
    <x v="0"/>
    <s v="No"/>
    <s v="-"/>
    <s v="No"/>
    <x v="1"/>
    <n v="0"/>
    <n v="5"/>
  </r>
  <r>
    <n v="3487"/>
    <s v="Sandro Almeida"/>
    <x v="0"/>
    <x v="255"/>
    <x v="1"/>
    <n v="15"/>
    <x v="2"/>
    <s v="Yes"/>
    <n v="30"/>
    <s v="Yes"/>
    <x v="0"/>
    <n v="7"/>
    <n v="58"/>
  </r>
  <r>
    <n v="3488"/>
    <s v="Tânia Ribeiro"/>
    <x v="2"/>
    <x v="256"/>
    <x v="0"/>
    <n v="10"/>
    <x v="1"/>
    <s v="No"/>
    <s v="-"/>
    <s v="Yes"/>
    <x v="0"/>
    <n v="10"/>
    <n v="20"/>
  </r>
  <r>
    <n v="3489"/>
    <s v="Ugo Dias"/>
    <x v="1"/>
    <x v="257"/>
    <x v="1"/>
    <n v="5"/>
    <x v="2"/>
    <s v="No"/>
    <s v="-"/>
    <s v="No"/>
    <x v="1"/>
    <n v="1"/>
    <n v="4"/>
  </r>
  <r>
    <n v="3490"/>
    <s v="Valéria Lima"/>
    <x v="0"/>
    <x v="258"/>
    <x v="0"/>
    <n v="15"/>
    <x v="0"/>
    <s v="Yes"/>
    <n v="30"/>
    <s v="Yes"/>
    <x v="0"/>
    <n v="15"/>
    <n v="50"/>
  </r>
  <r>
    <n v="3491"/>
    <s v="William Fernandes"/>
    <x v="2"/>
    <x v="259"/>
    <x v="1"/>
    <n v="10"/>
    <x v="0"/>
    <s v="No"/>
    <s v="-"/>
    <s v="Yes"/>
    <x v="0"/>
    <n v="5"/>
    <n v="25"/>
  </r>
  <r>
    <n v="3492"/>
    <s v="Xuxa Mendes"/>
    <x v="1"/>
    <x v="260"/>
    <x v="0"/>
    <n v="5"/>
    <x v="1"/>
    <s v="No"/>
    <s v="-"/>
    <s v="No"/>
    <x v="1"/>
    <n v="0"/>
    <n v="5"/>
  </r>
  <r>
    <n v="3493"/>
    <s v="Ygor Farias"/>
    <x v="0"/>
    <x v="261"/>
    <x v="1"/>
    <n v="15"/>
    <x v="2"/>
    <s v="Yes"/>
    <n v="30"/>
    <s v="Yes"/>
    <x v="0"/>
    <n v="20"/>
    <n v="45"/>
  </r>
  <r>
    <n v="3494"/>
    <s v="Zilda Barros"/>
    <x v="2"/>
    <x v="262"/>
    <x v="0"/>
    <n v="10"/>
    <x v="2"/>
    <s v="No"/>
    <s v="-"/>
    <s v="Yes"/>
    <x v="0"/>
    <n v="12"/>
    <n v="18"/>
  </r>
  <r>
    <n v="3495"/>
    <s v="Amanda Santos"/>
    <x v="1"/>
    <x v="263"/>
    <x v="1"/>
    <n v="5"/>
    <x v="0"/>
    <s v="No"/>
    <s v="-"/>
    <s v="No"/>
    <x v="1"/>
    <n v="2"/>
    <n v="3"/>
  </r>
  <r>
    <n v="3496"/>
    <s v="Bruno Costa"/>
    <x v="0"/>
    <x v="264"/>
    <x v="0"/>
    <n v="15"/>
    <x v="1"/>
    <s v="Yes"/>
    <n v="30"/>
    <s v="Yes"/>
    <x v="0"/>
    <n v="5"/>
    <n v="60"/>
  </r>
  <r>
    <n v="3497"/>
    <s v="Carla Rodrigues"/>
    <x v="2"/>
    <x v="265"/>
    <x v="1"/>
    <n v="10"/>
    <x v="0"/>
    <s v="No"/>
    <s v="-"/>
    <s v="Yes"/>
    <x v="0"/>
    <n v="10"/>
    <n v="20"/>
  </r>
  <r>
    <n v="3498"/>
    <s v="Diogo Pereira"/>
    <x v="1"/>
    <x v="266"/>
    <x v="0"/>
    <n v="5"/>
    <x v="2"/>
    <s v="No"/>
    <s v="-"/>
    <s v="No"/>
    <x v="1"/>
    <n v="0"/>
    <n v="5"/>
  </r>
  <r>
    <n v="3499"/>
    <s v="Elisa Correia"/>
    <x v="0"/>
    <x v="267"/>
    <x v="1"/>
    <n v="15"/>
    <x v="0"/>
    <s v="Yes"/>
    <n v="30"/>
    <s v="Yes"/>
    <x v="0"/>
    <n v="3"/>
    <n v="62"/>
  </r>
  <r>
    <n v="3500"/>
    <s v="Fábio Lourenço"/>
    <x v="2"/>
    <x v="268"/>
    <x v="0"/>
    <n v="10"/>
    <x v="1"/>
    <s v="No"/>
    <s v="-"/>
    <s v="Yes"/>
    <x v="0"/>
    <n v="15"/>
    <n v="15"/>
  </r>
  <r>
    <n v="3501"/>
    <s v="Gabriela Neves"/>
    <x v="1"/>
    <x v="269"/>
    <x v="1"/>
    <n v="5"/>
    <x v="0"/>
    <s v="No"/>
    <s v="-"/>
    <s v="No"/>
    <x v="1"/>
    <n v="1"/>
    <n v="4"/>
  </r>
  <r>
    <n v="3502"/>
    <s v="Henrique Gonçalves"/>
    <x v="0"/>
    <x v="270"/>
    <x v="0"/>
    <n v="15"/>
    <x v="2"/>
    <s v="Yes"/>
    <n v="30"/>
    <s v="Yes"/>
    <x v="0"/>
    <n v="7"/>
    <n v="58"/>
  </r>
  <r>
    <n v="3503"/>
    <s v="Íris Santos"/>
    <x v="2"/>
    <x v="271"/>
    <x v="1"/>
    <n v="10"/>
    <x v="0"/>
    <s v="No"/>
    <s v="-"/>
    <s v="Yes"/>
    <x v="0"/>
    <n v="10"/>
    <n v="20"/>
  </r>
  <r>
    <n v="3504"/>
    <s v="João Marcelo Alves"/>
    <x v="1"/>
    <x v="272"/>
    <x v="0"/>
    <n v="5"/>
    <x v="1"/>
    <s v="No"/>
    <s v="-"/>
    <s v="No"/>
    <x v="1"/>
    <n v="0"/>
    <n v="5"/>
  </r>
  <r>
    <n v="3505"/>
    <s v="Klara Fonseca"/>
    <x v="0"/>
    <x v="273"/>
    <x v="1"/>
    <n v="15"/>
    <x v="0"/>
    <s v="Yes"/>
    <n v="30"/>
    <s v="Yes"/>
    <x v="0"/>
    <n v="20"/>
    <n v="45"/>
  </r>
  <r>
    <n v="3506"/>
    <s v="Lucas Mendonça"/>
    <x v="2"/>
    <x v="274"/>
    <x v="0"/>
    <n v="10"/>
    <x v="2"/>
    <s v="No"/>
    <s v="-"/>
    <s v="Yes"/>
    <x v="0"/>
    <n v="15"/>
    <n v="15"/>
  </r>
  <r>
    <n v="3507"/>
    <s v="Marcela Torres"/>
    <x v="1"/>
    <x v="275"/>
    <x v="1"/>
    <n v="5"/>
    <x v="0"/>
    <s v="No"/>
    <s v="-"/>
    <s v="No"/>
    <x v="1"/>
    <n v="1"/>
    <n v="4"/>
  </r>
  <r>
    <n v="3508"/>
    <s v="Natália Castro"/>
    <x v="0"/>
    <x v="276"/>
    <x v="0"/>
    <n v="15"/>
    <x v="1"/>
    <s v="Yes"/>
    <n v="30"/>
    <s v="Yes"/>
    <x v="0"/>
    <n v="3"/>
    <n v="62"/>
  </r>
  <r>
    <n v="3509"/>
    <s v="Oscar Martins"/>
    <x v="2"/>
    <x v="277"/>
    <x v="1"/>
    <n v="10"/>
    <x v="0"/>
    <s v="No"/>
    <s v="-"/>
    <s v="Yes"/>
    <x v="0"/>
    <n v="10"/>
    <n v="20"/>
  </r>
  <r>
    <n v="3510"/>
    <s v="Patrícia Oliveira"/>
    <x v="1"/>
    <x v="278"/>
    <x v="0"/>
    <n v="5"/>
    <x v="2"/>
    <s v="No"/>
    <s v="-"/>
    <s v="No"/>
    <x v="1"/>
    <n v="0"/>
    <n v="5"/>
  </r>
  <r>
    <n v="3511"/>
    <s v="Quentin Nogueira"/>
    <x v="0"/>
    <x v="279"/>
    <x v="1"/>
    <n v="15"/>
    <x v="0"/>
    <s v="Yes"/>
    <n v="30"/>
    <s v="Yes"/>
    <x v="0"/>
    <n v="15"/>
    <n v="50"/>
  </r>
  <r>
    <n v="3512"/>
    <s v="Raquel Silva"/>
    <x v="2"/>
    <x v="280"/>
    <x v="0"/>
    <n v="10"/>
    <x v="1"/>
    <s v="No"/>
    <s v="-"/>
    <s v="Yes"/>
    <x v="0"/>
    <n v="15"/>
    <n v="15"/>
  </r>
  <r>
    <n v="3513"/>
    <s v="Sandro Gomes"/>
    <x v="1"/>
    <x v="281"/>
    <x v="1"/>
    <n v="5"/>
    <x v="0"/>
    <s v="No"/>
    <s v="-"/>
    <s v="No"/>
    <x v="1"/>
    <n v="1"/>
    <n v="4"/>
  </r>
  <r>
    <n v="3514"/>
    <s v="Tânia Machado"/>
    <x v="0"/>
    <x v="282"/>
    <x v="0"/>
    <n v="15"/>
    <x v="2"/>
    <s v="Yes"/>
    <n v="30"/>
    <s v="Yes"/>
    <x v="0"/>
    <n v="7"/>
    <n v="58"/>
  </r>
  <r>
    <n v="3515"/>
    <s v="Ursula Silva"/>
    <x v="2"/>
    <x v="283"/>
    <x v="1"/>
    <n v="10"/>
    <x v="0"/>
    <s v="No"/>
    <s v="-"/>
    <s v="Yes"/>
    <x v="0"/>
    <n v="10"/>
    <n v="20"/>
  </r>
  <r>
    <n v="3516"/>
    <s v="Vanessa Moraes"/>
    <x v="1"/>
    <x v="284"/>
    <x v="0"/>
    <n v="5"/>
    <x v="1"/>
    <s v="No"/>
    <s v="-"/>
    <s v="No"/>
    <x v="1"/>
    <n v="0"/>
    <n v="5"/>
  </r>
  <r>
    <n v="3517"/>
    <s v="William Carvalho"/>
    <x v="0"/>
    <x v="285"/>
    <x v="1"/>
    <n v="15"/>
    <x v="0"/>
    <s v="Yes"/>
    <n v="30"/>
    <s v="Yes"/>
    <x v="0"/>
    <n v="20"/>
    <n v="45"/>
  </r>
  <r>
    <n v="3518"/>
    <s v="Xavier Reis"/>
    <x v="2"/>
    <x v="286"/>
    <x v="0"/>
    <n v="10"/>
    <x v="2"/>
    <s v="No"/>
    <s v="-"/>
    <s v="Yes"/>
    <x v="0"/>
    <n v="12"/>
    <n v="18"/>
  </r>
  <r>
    <n v="3519"/>
    <s v="Yasmin Rocha"/>
    <x v="1"/>
    <x v="287"/>
    <x v="1"/>
    <n v="5"/>
    <x v="0"/>
    <s v="No"/>
    <s v="-"/>
    <s v="No"/>
    <x v="1"/>
    <n v="2"/>
    <n v="3"/>
  </r>
  <r>
    <n v="3520"/>
    <s v="Zacarias Duarte"/>
    <x v="0"/>
    <x v="288"/>
    <x v="0"/>
    <n v="15"/>
    <x v="1"/>
    <s v="Yes"/>
    <n v="30"/>
    <s v="Yes"/>
    <x v="0"/>
    <n v="5"/>
    <n v="60"/>
  </r>
  <r>
    <n v="3521"/>
    <s v="Amanda Freitas"/>
    <x v="2"/>
    <x v="289"/>
    <x v="1"/>
    <n v="10"/>
    <x v="0"/>
    <s v="No"/>
    <s v="-"/>
    <s v="Yes"/>
    <x v="0"/>
    <n v="10"/>
    <n v="20"/>
  </r>
  <r>
    <n v="3522"/>
    <s v="Bruno Almeida"/>
    <x v="1"/>
    <x v="290"/>
    <x v="0"/>
    <n v="5"/>
    <x v="2"/>
    <s v="No"/>
    <s v="-"/>
    <s v="No"/>
    <x v="1"/>
    <n v="0"/>
    <n v="5"/>
  </r>
  <r>
    <n v="3523"/>
    <s v="Carla Siqueira"/>
    <x v="0"/>
    <x v="291"/>
    <x v="1"/>
    <n v="15"/>
    <x v="0"/>
    <s v="Yes"/>
    <n v="30"/>
    <s v="Yes"/>
    <x v="0"/>
    <n v="3"/>
    <n v="62"/>
  </r>
  <r>
    <n v="3524"/>
    <s v="Diogo Ramos"/>
    <x v="2"/>
    <x v="292"/>
    <x v="0"/>
    <n v="10"/>
    <x v="1"/>
    <s v="No"/>
    <s v="-"/>
    <s v="Yes"/>
    <x v="0"/>
    <n v="15"/>
    <n v="15"/>
  </r>
  <r>
    <n v="3525"/>
    <s v="Elisa Magalhães"/>
    <x v="1"/>
    <x v="293"/>
    <x v="1"/>
    <n v="5"/>
    <x v="0"/>
    <s v="No"/>
    <s v="-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B1F36-FC67-413A-969D-9BE146716262}" name="Tabela dinâmica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52:C65" firstHeaderRow="1" firstDataRow="1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A3002-911F-4876-814F-24DE0DC2C198}" name="Tabela dinâmica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3:C47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753A3-3CA7-42F7-B912-7968B05B5503}" name="Tabela dinâ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8:C31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60472-675F-48C7-A02C-93EBE375352B}" name="Tabela dinâ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C22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>
      <items count="3">
        <item x="1"/>
        <item x="0"/>
        <item t="default"/>
      </items>
    </pivotField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53D77-50A9-4FE0-A231-02BB63DD72E7}" name="Tabela dinâ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C15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 numFmtId="166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EED8F-BC01-417E-BDCD-92D6055489B4}" name="Tabela dinâmica2" cacheId="2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7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dataField="1"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Faturamento total" fld="12" baseField="0" baseItem="0" numFmtId="164"/>
    <dataField name="Assinantes" fld="0" subtotal="count" baseField="0" baseItem="1"/>
    <dataField name="Ticket médio" fld="12" subtotal="average" baseField="0" baseItem="1" numFmtId="164"/>
    <dataField name="Cupons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D216F-7FF2-4187-B3BA-4D540491949C}" name="Tabela dinâ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5:C39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E5CA87-C740-48B0-A094-72BE0C70CBF1}" sourceName="Subscription Type">
  <pivotTables>
    <pivotTable tabId="2" name="Tabela dinâmica5"/>
    <pivotTable tabId="2" name="Tabela dinâmica2"/>
    <pivotTable tabId="2" name="Tabela dinâmica3"/>
    <pivotTable tabId="2" name="Tabela dinâmica4"/>
    <pivotTable tabId="2" name="Tabela dinâmica6"/>
    <pivotTable tabId="2" name="Tabela dinâmica8"/>
  </pivotTables>
  <data>
    <tabular pivotCacheId="203873505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C5FB02F-3FB9-4FE8-82E9-F9E3B75ED3EC}" cache="SegmentaçãodeDados_Subscription_Type" style="xbox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C55E"/>
  </sheetPr>
  <dimension ref="A1:O53"/>
  <sheetViews>
    <sheetView showGridLines="0" showRowColHeaders="0" tabSelected="1" zoomScaleNormal="100" workbookViewId="0">
      <selection activeCell="U13" sqref="U13"/>
    </sheetView>
  </sheetViews>
  <sheetFormatPr defaultRowHeight="15" x14ac:dyDescent="0.25"/>
  <cols>
    <col min="1" max="1" width="30" customWidth="1"/>
    <col min="2" max="2" width="2" customWidth="1"/>
    <col min="3" max="14" width="11.42578125" customWidth="1"/>
    <col min="15" max="15" width="2" customWidth="1"/>
  </cols>
  <sheetData>
    <row r="1" spans="1:15" ht="39.950000000000003" customHeight="1" x14ac:dyDescent="0.25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.95" customHeight="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0.100000000000001" customHeight="1" x14ac:dyDescent="0.25">
      <c r="A4" s="22" t="s">
        <v>7</v>
      </c>
      <c r="B4" s="4"/>
      <c r="C4" s="16" t="s">
        <v>1</v>
      </c>
      <c r="D4" s="15"/>
      <c r="E4" s="15"/>
      <c r="F4" s="15"/>
      <c r="G4" s="16" t="s">
        <v>2</v>
      </c>
      <c r="H4" s="15"/>
      <c r="I4" s="15"/>
      <c r="J4" s="15"/>
      <c r="K4" s="16" t="s">
        <v>3</v>
      </c>
      <c r="L4" s="15"/>
      <c r="M4" s="15"/>
      <c r="N4" s="15"/>
      <c r="O4" s="4"/>
    </row>
    <row r="5" spans="1:15" ht="20.100000000000001" customHeight="1" x14ac:dyDescent="0.25">
      <c r="A5" s="1"/>
      <c r="B5" s="4"/>
      <c r="C5" s="14">
        <f>GETPIVOTDATA("Faturamento total",Calculos!$B$3)</f>
        <v>7633</v>
      </c>
      <c r="D5" s="15"/>
      <c r="E5" s="15"/>
      <c r="F5" s="15"/>
      <c r="G5" s="14">
        <f>GETPIVOTDATA("EA Play Season Pass
Price",Calculos!$B$11)</f>
        <v>2940</v>
      </c>
      <c r="H5" s="15"/>
      <c r="I5" s="15"/>
      <c r="J5" s="15"/>
      <c r="K5" s="14">
        <f>GETPIVOTDATA("Minecraft Season Pass Price",Calculos!$B$18)</f>
        <v>3880</v>
      </c>
      <c r="L5" s="15"/>
      <c r="M5" s="15"/>
      <c r="N5" s="15"/>
      <c r="O5" s="4"/>
    </row>
    <row r="6" spans="1:15" ht="20.100000000000001" customHeight="1" x14ac:dyDescent="0.25">
      <c r="A6" s="1"/>
      <c r="B6" s="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4"/>
    </row>
    <row r="7" spans="1:15" ht="20.100000000000001" customHeight="1" x14ac:dyDescent="0.25">
      <c r="A7" s="1"/>
      <c r="B7" s="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4"/>
    </row>
    <row r="8" spans="1:15" ht="20.100000000000001" customHeight="1" x14ac:dyDescent="0.25">
      <c r="A8" s="1"/>
      <c r="B8" s="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4"/>
    </row>
    <row r="9" spans="1:15" ht="9.75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20.100000000000001" customHeight="1" x14ac:dyDescent="0.25">
      <c r="A10" s="1"/>
      <c r="B10" s="4"/>
      <c r="C10" s="16" t="s">
        <v>4</v>
      </c>
      <c r="D10" s="15"/>
      <c r="E10" s="15"/>
      <c r="F10" s="15"/>
      <c r="G10" s="16" t="s">
        <v>5</v>
      </c>
      <c r="H10" s="15"/>
      <c r="I10" s="15"/>
      <c r="J10" s="15"/>
      <c r="K10" s="16" t="s">
        <v>6</v>
      </c>
      <c r="L10" s="15"/>
      <c r="M10" s="15"/>
      <c r="N10" s="15"/>
      <c r="O10" s="4"/>
    </row>
    <row r="11" spans="1:15" ht="20.100000000000001" customHeight="1" x14ac:dyDescent="0.25">
      <c r="A11" s="6" t="s">
        <v>10</v>
      </c>
      <c r="B11" s="4"/>
      <c r="C11" s="17">
        <f>GETPIVOTDATA("Assinantes",Calculos!$B$3)</f>
        <v>295</v>
      </c>
      <c r="D11" s="15"/>
      <c r="E11" s="15"/>
      <c r="F11" s="15"/>
      <c r="G11" s="19">
        <f>GETPIVOTDATA("Ticket médio",Calculos!$B$3)</f>
        <v>25.874576271186442</v>
      </c>
      <c r="H11" s="15"/>
      <c r="I11" s="15"/>
      <c r="J11" s="15"/>
      <c r="K11" s="20">
        <f>GETPIVOTDATA("Cupons",Calculos!$B$3)</f>
        <v>2122</v>
      </c>
      <c r="L11" s="15"/>
      <c r="M11" s="15"/>
      <c r="N11" s="15"/>
      <c r="O11" s="4"/>
    </row>
    <row r="12" spans="1:15" ht="20.100000000000001" customHeight="1" x14ac:dyDescent="0.25">
      <c r="A12" s="6" t="s">
        <v>11</v>
      </c>
      <c r="B12" s="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4"/>
    </row>
    <row r="13" spans="1:15" ht="12.75" customHeight="1" x14ac:dyDescent="0.25">
      <c r="A13" s="5"/>
      <c r="B13" s="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4"/>
    </row>
    <row r="14" spans="1:15" ht="8.25" customHeight="1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1"/>
      <c r="B15" s="4"/>
      <c r="C15" s="18" t="s">
        <v>8</v>
      </c>
      <c r="D15" s="15"/>
      <c r="E15" s="15"/>
      <c r="F15" s="15"/>
      <c r="G15" s="15"/>
      <c r="H15" s="15"/>
      <c r="I15" s="18" t="s">
        <v>9</v>
      </c>
      <c r="J15" s="15"/>
      <c r="K15" s="15"/>
      <c r="L15" s="15"/>
      <c r="M15" s="15"/>
      <c r="N15" s="15"/>
      <c r="O15" s="4"/>
    </row>
    <row r="16" spans="1:15" x14ac:dyDescent="0.25">
      <c r="A16" s="6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4"/>
    </row>
    <row r="17" spans="1:15" x14ac:dyDescent="0.25">
      <c r="A17" s="6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"/>
    </row>
    <row r="18" spans="1:15" x14ac:dyDescent="0.25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</row>
    <row r="19" spans="1:15" x14ac:dyDescent="0.25">
      <c r="A19" s="6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"/>
    </row>
    <row r="20" spans="1:15" x14ac:dyDescent="0.25">
      <c r="A20" s="6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"/>
    </row>
    <row r="21" spans="1:15" x14ac:dyDescent="0.25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</row>
    <row r="22" spans="1:15" x14ac:dyDescent="0.25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</row>
    <row r="23" spans="1:15" x14ac:dyDescent="0.25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</row>
    <row r="24" spans="1:15" x14ac:dyDescent="0.25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</row>
    <row r="25" spans="1:15" x14ac:dyDescent="0.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/>
    </row>
    <row r="26" spans="1:15" x14ac:dyDescent="0.25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</row>
    <row r="27" spans="1:15" x14ac:dyDescent="0.25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</row>
    <row r="28" spans="1:15" x14ac:dyDescent="0.25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</row>
    <row r="29" spans="1:15" x14ac:dyDescent="0.25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4"/>
    </row>
    <row r="30" spans="1:15" ht="7.5" customHeight="1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1"/>
      <c r="B31" s="4"/>
      <c r="C31" s="18" t="s">
        <v>12</v>
      </c>
      <c r="D31" s="15"/>
      <c r="E31" s="15"/>
      <c r="F31" s="15"/>
      <c r="G31" s="15"/>
      <c r="H31" s="15"/>
      <c r="I31" s="18" t="s">
        <v>13</v>
      </c>
      <c r="J31" s="15"/>
      <c r="K31" s="15"/>
      <c r="L31" s="15"/>
      <c r="M31" s="15"/>
      <c r="N31" s="15"/>
      <c r="O31" s="4"/>
    </row>
    <row r="32" spans="1:15" x14ac:dyDescent="0.25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"/>
    </row>
    <row r="33" spans="1:15" x14ac:dyDescent="0.25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4"/>
    </row>
    <row r="34" spans="1:15" x14ac:dyDescent="0.25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4"/>
    </row>
    <row r="35" spans="1:15" x14ac:dyDescent="0.2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4"/>
    </row>
    <row r="36" spans="1:15" x14ac:dyDescent="0.25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4"/>
    </row>
    <row r="37" spans="1:15" x14ac:dyDescent="0.25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4"/>
    </row>
    <row r="38" spans="1:15" x14ac:dyDescent="0.25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</row>
    <row r="39" spans="1:15" x14ac:dyDescent="0.25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</row>
    <row r="40" spans="1:15" x14ac:dyDescent="0.25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4"/>
    </row>
    <row r="41" spans="1:15" x14ac:dyDescent="0.25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"/>
    </row>
    <row r="42" spans="1:15" x14ac:dyDescent="0.25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"/>
    </row>
    <row r="43" spans="1:15" x14ac:dyDescent="0.25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4"/>
    </row>
    <row r="44" spans="1:15" x14ac:dyDescent="0.25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4"/>
    </row>
    <row r="45" spans="1:15" x14ac:dyDescent="0.2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4"/>
    </row>
    <row r="46" spans="1:15" x14ac:dyDescent="0.25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4"/>
    </row>
    <row r="47" spans="1:15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1"/>
      <c r="B48" s="4"/>
      <c r="C48" s="7" t="s">
        <v>14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</sheetData>
  <mergeCells count="16">
    <mergeCell ref="G10:J10"/>
    <mergeCell ref="C11:F13"/>
    <mergeCell ref="C15:H15"/>
    <mergeCell ref="G11:J13"/>
    <mergeCell ref="I31:N31"/>
    <mergeCell ref="K10:N10"/>
    <mergeCell ref="C31:H31"/>
    <mergeCell ref="C10:F10"/>
    <mergeCell ref="K11:N13"/>
    <mergeCell ref="I15:N15"/>
    <mergeCell ref="C5:F8"/>
    <mergeCell ref="C4:F4"/>
    <mergeCell ref="G5:J8"/>
    <mergeCell ref="G4:J4"/>
    <mergeCell ref="K5:N8"/>
    <mergeCell ref="K4:N4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BC848"/>
  </sheetPr>
  <dimension ref="B2:C65"/>
  <sheetViews>
    <sheetView showGridLines="0" topLeftCell="A25" workbookViewId="0">
      <selection activeCell="S8" sqref="S8"/>
    </sheetView>
  </sheetViews>
  <sheetFormatPr defaultRowHeight="15" x14ac:dyDescent="0.25"/>
  <cols>
    <col min="1" max="1" width="3" customWidth="1"/>
    <col min="2" max="2" width="18" bestFit="1" customWidth="1"/>
    <col min="3" max="3" width="19.28515625" bestFit="1" customWidth="1"/>
    <col min="4" max="4" width="21.140625" bestFit="1" customWidth="1"/>
    <col min="5" max="5" width="21.85546875" bestFit="1" customWidth="1"/>
    <col min="6" max="6" width="18" customWidth="1"/>
  </cols>
  <sheetData>
    <row r="2" spans="2:3" x14ac:dyDescent="0.25">
      <c r="B2" t="s">
        <v>323</v>
      </c>
    </row>
    <row r="3" spans="2:3" x14ac:dyDescent="0.25">
      <c r="B3" s="11" t="s">
        <v>319</v>
      </c>
    </row>
    <row r="4" spans="2:3" x14ac:dyDescent="0.25">
      <c r="B4" s="12" t="s">
        <v>321</v>
      </c>
      <c r="C4" s="10">
        <v>7633</v>
      </c>
    </row>
    <row r="5" spans="2:3" x14ac:dyDescent="0.25">
      <c r="B5" s="12" t="s">
        <v>16</v>
      </c>
      <c r="C5" s="21">
        <v>295</v>
      </c>
    </row>
    <row r="6" spans="2:3" x14ac:dyDescent="0.25">
      <c r="B6" s="12" t="s">
        <v>320</v>
      </c>
      <c r="C6" s="10">
        <v>25.874576271186442</v>
      </c>
    </row>
    <row r="7" spans="2:3" x14ac:dyDescent="0.25">
      <c r="B7" s="12" t="s">
        <v>322</v>
      </c>
      <c r="C7" s="10">
        <v>2122</v>
      </c>
    </row>
    <row r="10" spans="2:3" x14ac:dyDescent="0.25">
      <c r="B10" s="12" t="s">
        <v>327</v>
      </c>
    </row>
    <row r="11" spans="2:3" x14ac:dyDescent="0.25">
      <c r="B11" s="11" t="s">
        <v>324</v>
      </c>
      <c r="C11" t="s">
        <v>326</v>
      </c>
    </row>
    <row r="12" spans="2:3" x14ac:dyDescent="0.25">
      <c r="B12" s="12" t="s">
        <v>17</v>
      </c>
      <c r="C12" s="13">
        <v>0</v>
      </c>
    </row>
    <row r="13" spans="2:3" x14ac:dyDescent="0.25">
      <c r="B13" s="12" t="s">
        <v>18</v>
      </c>
      <c r="C13" s="13">
        <v>0</v>
      </c>
    </row>
    <row r="14" spans="2:3" x14ac:dyDescent="0.25">
      <c r="B14" s="12" t="s">
        <v>19</v>
      </c>
      <c r="C14" s="13">
        <v>2940</v>
      </c>
    </row>
    <row r="15" spans="2:3" x14ac:dyDescent="0.25">
      <c r="B15" s="12" t="s">
        <v>325</v>
      </c>
      <c r="C15" s="13">
        <v>2940</v>
      </c>
    </row>
    <row r="17" spans="2:3" x14ac:dyDescent="0.25">
      <c r="B17" s="12" t="s">
        <v>328</v>
      </c>
    </row>
    <row r="18" spans="2:3" x14ac:dyDescent="0.25">
      <c r="B18" s="11" t="s">
        <v>324</v>
      </c>
      <c r="C18" t="s">
        <v>329</v>
      </c>
    </row>
    <row r="19" spans="2:3" x14ac:dyDescent="0.25">
      <c r="B19" s="12" t="s">
        <v>17</v>
      </c>
      <c r="C19" s="10">
        <v>0</v>
      </c>
    </row>
    <row r="20" spans="2:3" x14ac:dyDescent="0.25">
      <c r="B20" s="12" t="s">
        <v>18</v>
      </c>
      <c r="C20" s="10">
        <v>1920</v>
      </c>
    </row>
    <row r="21" spans="2:3" x14ac:dyDescent="0.25">
      <c r="B21" s="12" t="s">
        <v>19</v>
      </c>
      <c r="C21" s="10">
        <v>1960</v>
      </c>
    </row>
    <row r="22" spans="2:3" x14ac:dyDescent="0.25">
      <c r="B22" s="12" t="s">
        <v>325</v>
      </c>
      <c r="C22" s="10">
        <v>3880</v>
      </c>
    </row>
    <row r="26" spans="2:3" x14ac:dyDescent="0.25">
      <c r="B26" t="s">
        <v>330</v>
      </c>
    </row>
    <row r="28" spans="2:3" x14ac:dyDescent="0.25">
      <c r="B28" s="11" t="s">
        <v>324</v>
      </c>
      <c r="C28" t="s">
        <v>318</v>
      </c>
    </row>
    <row r="29" spans="2:3" x14ac:dyDescent="0.25">
      <c r="B29" s="12" t="s">
        <v>38</v>
      </c>
      <c r="C29" s="10">
        <v>3847</v>
      </c>
    </row>
    <row r="30" spans="2:3" x14ac:dyDescent="0.25">
      <c r="B30" s="12" t="s">
        <v>36</v>
      </c>
      <c r="C30" s="10">
        <v>3786</v>
      </c>
    </row>
    <row r="31" spans="2:3" x14ac:dyDescent="0.25">
      <c r="B31" s="12" t="s">
        <v>325</v>
      </c>
      <c r="C31" s="10">
        <v>7633</v>
      </c>
    </row>
    <row r="33" spans="2:3" x14ac:dyDescent="0.25">
      <c r="B33" s="12" t="s">
        <v>331</v>
      </c>
    </row>
    <row r="35" spans="2:3" x14ac:dyDescent="0.25">
      <c r="B35" s="11" t="s">
        <v>324</v>
      </c>
      <c r="C35" t="s">
        <v>318</v>
      </c>
    </row>
    <row r="36" spans="2:3" x14ac:dyDescent="0.25">
      <c r="B36" s="12" t="s">
        <v>17</v>
      </c>
      <c r="C36" s="10">
        <v>444</v>
      </c>
    </row>
    <row r="37" spans="2:3" x14ac:dyDescent="0.25">
      <c r="B37" s="12" t="s">
        <v>18</v>
      </c>
      <c r="C37" s="10">
        <v>1801</v>
      </c>
    </row>
    <row r="38" spans="2:3" x14ac:dyDescent="0.25">
      <c r="B38" s="12" t="s">
        <v>19</v>
      </c>
      <c r="C38" s="10">
        <v>5388</v>
      </c>
    </row>
    <row r="39" spans="2:3" x14ac:dyDescent="0.25">
      <c r="B39" s="12" t="s">
        <v>325</v>
      </c>
      <c r="C39" s="10">
        <v>7633</v>
      </c>
    </row>
    <row r="42" spans="2:3" x14ac:dyDescent="0.25">
      <c r="B42" s="12" t="s">
        <v>332</v>
      </c>
    </row>
    <row r="43" spans="2:3" x14ac:dyDescent="0.25">
      <c r="B43" s="11" t="s">
        <v>324</v>
      </c>
      <c r="C43" t="s">
        <v>318</v>
      </c>
    </row>
    <row r="44" spans="2:3" x14ac:dyDescent="0.25">
      <c r="B44" s="12" t="s">
        <v>22</v>
      </c>
      <c r="C44" s="10">
        <v>1754</v>
      </c>
    </row>
    <row r="45" spans="2:3" x14ac:dyDescent="0.25">
      <c r="B45" s="12" t="s">
        <v>20</v>
      </c>
      <c r="C45" s="10">
        <v>3571</v>
      </c>
    </row>
    <row r="46" spans="2:3" x14ac:dyDescent="0.25">
      <c r="B46" s="12" t="s">
        <v>21</v>
      </c>
      <c r="C46" s="10">
        <v>2308</v>
      </c>
    </row>
    <row r="47" spans="2:3" x14ac:dyDescent="0.25">
      <c r="B47" s="12" t="s">
        <v>325</v>
      </c>
      <c r="C47" s="10">
        <v>7633</v>
      </c>
    </row>
    <row r="51" spans="2:3" x14ac:dyDescent="0.25">
      <c r="B51" t="s">
        <v>333</v>
      </c>
    </row>
    <row r="52" spans="2:3" x14ac:dyDescent="0.25">
      <c r="B52" s="11" t="s">
        <v>324</v>
      </c>
      <c r="C52" t="s">
        <v>318</v>
      </c>
    </row>
    <row r="53" spans="2:3" x14ac:dyDescent="0.25">
      <c r="B53" s="12" t="s">
        <v>334</v>
      </c>
      <c r="C53" s="10">
        <v>65</v>
      </c>
    </row>
    <row r="54" spans="2:3" x14ac:dyDescent="0.25">
      <c r="B54" s="12" t="s">
        <v>335</v>
      </c>
      <c r="C54" s="10">
        <v>82</v>
      </c>
    </row>
    <row r="55" spans="2:3" x14ac:dyDescent="0.25">
      <c r="B55" s="12" t="s">
        <v>336</v>
      </c>
      <c r="C55" s="10">
        <v>801</v>
      </c>
    </row>
    <row r="56" spans="2:3" x14ac:dyDescent="0.25">
      <c r="B56" s="12" t="s">
        <v>337</v>
      </c>
      <c r="C56" s="10">
        <v>782</v>
      </c>
    </row>
    <row r="57" spans="2:3" x14ac:dyDescent="0.25">
      <c r="B57" s="12" t="s">
        <v>338</v>
      </c>
      <c r="C57" s="10">
        <v>777</v>
      </c>
    </row>
    <row r="58" spans="2:3" x14ac:dyDescent="0.25">
      <c r="B58" s="12" t="s">
        <v>339</v>
      </c>
      <c r="C58" s="10">
        <v>770</v>
      </c>
    </row>
    <row r="59" spans="2:3" x14ac:dyDescent="0.25">
      <c r="B59" s="12" t="s">
        <v>340</v>
      </c>
      <c r="C59" s="10">
        <v>784</v>
      </c>
    </row>
    <row r="60" spans="2:3" x14ac:dyDescent="0.25">
      <c r="B60" s="12" t="s">
        <v>341</v>
      </c>
      <c r="C60" s="10">
        <v>787</v>
      </c>
    </row>
    <row r="61" spans="2:3" x14ac:dyDescent="0.25">
      <c r="B61" s="12" t="s">
        <v>342</v>
      </c>
      <c r="C61" s="10">
        <v>780</v>
      </c>
    </row>
    <row r="62" spans="2:3" x14ac:dyDescent="0.25">
      <c r="B62" s="12" t="s">
        <v>343</v>
      </c>
      <c r="C62" s="10">
        <v>832</v>
      </c>
    </row>
    <row r="63" spans="2:3" x14ac:dyDescent="0.25">
      <c r="B63" s="12" t="s">
        <v>344</v>
      </c>
      <c r="C63" s="10">
        <v>784</v>
      </c>
    </row>
    <row r="64" spans="2:3" x14ac:dyDescent="0.25">
      <c r="B64" s="12" t="s">
        <v>345</v>
      </c>
      <c r="C64" s="10">
        <v>389</v>
      </c>
    </row>
    <row r="65" spans="2:3" x14ac:dyDescent="0.25">
      <c r="B65" s="12" t="s">
        <v>325</v>
      </c>
      <c r="C65" s="10">
        <v>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E0E0"/>
  </sheetPr>
  <dimension ref="A1:M296"/>
  <sheetViews>
    <sheetView workbookViewId="0">
      <pane ySplit="1" topLeftCell="A2" activePane="bottomLeft" state="frozen"/>
      <selection pane="bottomLeft" activeCell="R28" sqref="R28"/>
    </sheetView>
  </sheetViews>
  <sheetFormatPr defaultRowHeight="15" x14ac:dyDescent="0.25"/>
  <cols>
    <col min="1" max="1" width="13" customWidth="1"/>
    <col min="2" max="2" width="20" customWidth="1"/>
    <col min="3" max="3" width="11" customWidth="1"/>
    <col min="4" max="4" width="12" customWidth="1"/>
    <col min="5" max="5" width="13" customWidth="1"/>
    <col min="6" max="6" width="17" customWidth="1"/>
    <col min="7" max="7" width="16" customWidth="1"/>
    <col min="8" max="10" width="17" customWidth="1"/>
    <col min="11" max="11" width="19" customWidth="1"/>
    <col min="12" max="13" width="13" customWidth="1"/>
  </cols>
  <sheetData>
    <row r="1" spans="1:13" ht="32.1" customHeight="1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15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</row>
    <row r="2" spans="1:13" x14ac:dyDescent="0.25">
      <c r="A2">
        <v>3231</v>
      </c>
      <c r="B2" t="s">
        <v>35</v>
      </c>
      <c r="C2" t="s">
        <v>19</v>
      </c>
      <c r="D2" s="8">
        <v>45292</v>
      </c>
      <c r="E2" t="s">
        <v>36</v>
      </c>
      <c r="F2" s="10">
        <v>15</v>
      </c>
      <c r="G2" t="s">
        <v>20</v>
      </c>
      <c r="H2" t="s">
        <v>36</v>
      </c>
      <c r="I2" s="10">
        <v>30</v>
      </c>
      <c r="J2" t="s">
        <v>36</v>
      </c>
      <c r="K2" s="10">
        <v>20</v>
      </c>
      <c r="L2" s="10">
        <v>5</v>
      </c>
      <c r="M2" s="10">
        <v>60</v>
      </c>
    </row>
    <row r="3" spans="1:13" x14ac:dyDescent="0.25">
      <c r="A3">
        <v>3232</v>
      </c>
      <c r="B3" t="s">
        <v>37</v>
      </c>
      <c r="C3" t="s">
        <v>17</v>
      </c>
      <c r="D3" s="8">
        <v>45306</v>
      </c>
      <c r="E3" t="s">
        <v>38</v>
      </c>
      <c r="F3" s="10">
        <v>5</v>
      </c>
      <c r="G3" t="s">
        <v>22</v>
      </c>
      <c r="H3" t="s">
        <v>38</v>
      </c>
      <c r="I3" t="s">
        <v>39</v>
      </c>
      <c r="J3" t="s">
        <v>38</v>
      </c>
      <c r="K3" s="10">
        <v>0</v>
      </c>
      <c r="L3" s="10">
        <v>0</v>
      </c>
      <c r="M3" s="10">
        <v>5</v>
      </c>
    </row>
    <row r="4" spans="1:13" x14ac:dyDescent="0.25">
      <c r="A4">
        <v>3233</v>
      </c>
      <c r="B4" t="s">
        <v>40</v>
      </c>
      <c r="C4" t="s">
        <v>18</v>
      </c>
      <c r="D4" s="8">
        <v>45332</v>
      </c>
      <c r="E4" t="s">
        <v>36</v>
      </c>
      <c r="F4" s="10">
        <v>10</v>
      </c>
      <c r="G4" t="s">
        <v>21</v>
      </c>
      <c r="H4" t="s">
        <v>38</v>
      </c>
      <c r="I4" t="s">
        <v>39</v>
      </c>
      <c r="J4" t="s">
        <v>36</v>
      </c>
      <c r="K4" s="10">
        <v>20</v>
      </c>
      <c r="L4" s="10">
        <v>10</v>
      </c>
      <c r="M4" s="10">
        <v>20</v>
      </c>
    </row>
    <row r="5" spans="1:13" x14ac:dyDescent="0.25">
      <c r="A5">
        <v>3234</v>
      </c>
      <c r="B5" t="s">
        <v>41</v>
      </c>
      <c r="C5" t="s">
        <v>19</v>
      </c>
      <c r="D5" s="8">
        <v>45342</v>
      </c>
      <c r="E5" t="s">
        <v>38</v>
      </c>
      <c r="F5" s="10">
        <v>15</v>
      </c>
      <c r="G5" t="s">
        <v>20</v>
      </c>
      <c r="H5" t="s">
        <v>36</v>
      </c>
      <c r="I5" s="10">
        <v>30</v>
      </c>
      <c r="J5" t="s">
        <v>36</v>
      </c>
      <c r="K5" s="10">
        <v>20</v>
      </c>
      <c r="L5" s="10">
        <v>3</v>
      </c>
      <c r="M5" s="10">
        <v>62</v>
      </c>
    </row>
    <row r="6" spans="1:13" x14ac:dyDescent="0.25">
      <c r="A6">
        <v>3235</v>
      </c>
      <c r="B6" t="s">
        <v>42</v>
      </c>
      <c r="C6" t="s">
        <v>17</v>
      </c>
      <c r="D6" s="8">
        <v>45356</v>
      </c>
      <c r="E6" t="s">
        <v>36</v>
      </c>
      <c r="F6" s="10">
        <v>5</v>
      </c>
      <c r="G6" t="s">
        <v>20</v>
      </c>
      <c r="H6" t="s">
        <v>38</v>
      </c>
      <c r="I6" t="s">
        <v>39</v>
      </c>
      <c r="J6" t="s">
        <v>38</v>
      </c>
      <c r="K6" s="10">
        <v>0</v>
      </c>
      <c r="L6" s="10">
        <v>1</v>
      </c>
      <c r="M6" s="10">
        <v>4</v>
      </c>
    </row>
    <row r="7" spans="1:13" x14ac:dyDescent="0.25">
      <c r="A7">
        <v>3236</v>
      </c>
      <c r="B7" t="s">
        <v>43</v>
      </c>
      <c r="C7" t="s">
        <v>18</v>
      </c>
      <c r="D7" s="8">
        <v>45353</v>
      </c>
      <c r="E7" t="s">
        <v>38</v>
      </c>
      <c r="F7" s="10">
        <v>10</v>
      </c>
      <c r="G7" t="s">
        <v>20</v>
      </c>
      <c r="H7" t="s">
        <v>38</v>
      </c>
      <c r="I7" t="s">
        <v>39</v>
      </c>
      <c r="J7" t="s">
        <v>36</v>
      </c>
      <c r="K7" s="10">
        <v>20</v>
      </c>
      <c r="L7" s="10">
        <v>2</v>
      </c>
      <c r="M7" s="10">
        <v>28</v>
      </c>
    </row>
    <row r="8" spans="1:13" x14ac:dyDescent="0.25">
      <c r="A8">
        <v>3237</v>
      </c>
      <c r="B8" t="s">
        <v>44</v>
      </c>
      <c r="C8" t="s">
        <v>19</v>
      </c>
      <c r="D8" s="8">
        <v>45354</v>
      </c>
      <c r="E8" t="s">
        <v>36</v>
      </c>
      <c r="F8" s="10">
        <v>15</v>
      </c>
      <c r="G8" t="s">
        <v>21</v>
      </c>
      <c r="H8" t="s">
        <v>36</v>
      </c>
      <c r="I8" s="10">
        <v>30</v>
      </c>
      <c r="J8" t="s">
        <v>36</v>
      </c>
      <c r="K8" s="10">
        <v>20</v>
      </c>
      <c r="L8" s="10">
        <v>10</v>
      </c>
      <c r="M8" s="10">
        <v>55</v>
      </c>
    </row>
    <row r="9" spans="1:13" x14ac:dyDescent="0.25">
      <c r="A9">
        <v>3238</v>
      </c>
      <c r="B9" t="s">
        <v>45</v>
      </c>
      <c r="C9" t="s">
        <v>17</v>
      </c>
      <c r="D9" s="8">
        <v>45355</v>
      </c>
      <c r="E9" t="s">
        <v>36</v>
      </c>
      <c r="F9" s="10">
        <v>5</v>
      </c>
      <c r="G9" t="s">
        <v>22</v>
      </c>
      <c r="H9" t="s">
        <v>38</v>
      </c>
      <c r="I9" t="s">
        <v>39</v>
      </c>
      <c r="J9" t="s">
        <v>38</v>
      </c>
      <c r="K9" s="10">
        <v>0</v>
      </c>
      <c r="L9" s="10">
        <v>0</v>
      </c>
      <c r="M9" s="10">
        <v>5</v>
      </c>
    </row>
    <row r="10" spans="1:13" x14ac:dyDescent="0.25">
      <c r="A10">
        <v>3239</v>
      </c>
      <c r="B10" t="s">
        <v>46</v>
      </c>
      <c r="C10" t="s">
        <v>19</v>
      </c>
      <c r="D10" s="8">
        <v>45356</v>
      </c>
      <c r="E10" t="s">
        <v>38</v>
      </c>
      <c r="F10" s="10">
        <v>15</v>
      </c>
      <c r="G10" t="s">
        <v>20</v>
      </c>
      <c r="H10" t="s">
        <v>36</v>
      </c>
      <c r="I10" s="10">
        <v>30</v>
      </c>
      <c r="J10" t="s">
        <v>36</v>
      </c>
      <c r="K10" s="10">
        <v>20</v>
      </c>
      <c r="L10" s="10">
        <v>5</v>
      </c>
      <c r="M10" s="10">
        <v>60</v>
      </c>
    </row>
    <row r="11" spans="1:13" x14ac:dyDescent="0.25">
      <c r="A11">
        <v>3240</v>
      </c>
      <c r="B11" t="s">
        <v>47</v>
      </c>
      <c r="C11" t="s">
        <v>18</v>
      </c>
      <c r="D11" s="8">
        <v>45357</v>
      </c>
      <c r="E11" t="s">
        <v>36</v>
      </c>
      <c r="F11" s="10">
        <v>10</v>
      </c>
      <c r="G11" t="s">
        <v>21</v>
      </c>
      <c r="H11" t="s">
        <v>38</v>
      </c>
      <c r="I11" t="s">
        <v>39</v>
      </c>
      <c r="J11" t="s">
        <v>36</v>
      </c>
      <c r="K11" s="10">
        <v>20</v>
      </c>
      <c r="L11" s="10">
        <v>15</v>
      </c>
      <c r="M11" s="10">
        <v>15</v>
      </c>
    </row>
    <row r="12" spans="1:13" x14ac:dyDescent="0.25">
      <c r="A12">
        <v>3241</v>
      </c>
      <c r="B12" t="s">
        <v>48</v>
      </c>
      <c r="C12" t="s">
        <v>17</v>
      </c>
      <c r="D12" s="8">
        <v>45358</v>
      </c>
      <c r="E12" t="s">
        <v>38</v>
      </c>
      <c r="F12" s="10">
        <v>5</v>
      </c>
      <c r="G12" t="s">
        <v>20</v>
      </c>
      <c r="H12" t="s">
        <v>38</v>
      </c>
      <c r="I12" t="s">
        <v>39</v>
      </c>
      <c r="J12" t="s">
        <v>38</v>
      </c>
      <c r="K12" s="10">
        <v>0</v>
      </c>
      <c r="L12" s="10">
        <v>1</v>
      </c>
      <c r="M12" s="10">
        <v>4</v>
      </c>
    </row>
    <row r="13" spans="1:13" x14ac:dyDescent="0.25">
      <c r="A13">
        <v>3242</v>
      </c>
      <c r="B13" t="s">
        <v>49</v>
      </c>
      <c r="C13" t="s">
        <v>19</v>
      </c>
      <c r="D13" s="8">
        <v>45359</v>
      </c>
      <c r="E13" t="s">
        <v>36</v>
      </c>
      <c r="F13" s="10">
        <v>15</v>
      </c>
      <c r="G13" t="s">
        <v>22</v>
      </c>
      <c r="H13" t="s">
        <v>36</v>
      </c>
      <c r="I13" s="10">
        <v>30</v>
      </c>
      <c r="J13" t="s">
        <v>36</v>
      </c>
      <c r="K13" s="10">
        <v>20</v>
      </c>
      <c r="L13" s="10">
        <v>20</v>
      </c>
      <c r="M13" s="10">
        <v>45</v>
      </c>
    </row>
    <row r="14" spans="1:13" x14ac:dyDescent="0.25">
      <c r="A14">
        <v>3243</v>
      </c>
      <c r="B14" t="s">
        <v>50</v>
      </c>
      <c r="C14" t="s">
        <v>18</v>
      </c>
      <c r="D14" s="8">
        <v>45360</v>
      </c>
      <c r="E14" t="s">
        <v>38</v>
      </c>
      <c r="F14" s="10">
        <v>10</v>
      </c>
      <c r="G14" t="s">
        <v>20</v>
      </c>
      <c r="H14" t="s">
        <v>38</v>
      </c>
      <c r="I14" t="s">
        <v>39</v>
      </c>
      <c r="J14" t="s">
        <v>36</v>
      </c>
      <c r="K14" s="10">
        <v>20</v>
      </c>
      <c r="L14" s="10">
        <v>10</v>
      </c>
      <c r="M14" s="10">
        <v>20</v>
      </c>
    </row>
    <row r="15" spans="1:13" x14ac:dyDescent="0.25">
      <c r="A15">
        <v>3244</v>
      </c>
      <c r="B15" t="s">
        <v>51</v>
      </c>
      <c r="C15" t="s">
        <v>17</v>
      </c>
      <c r="D15" s="8">
        <v>45361</v>
      </c>
      <c r="E15" t="s">
        <v>36</v>
      </c>
      <c r="F15" s="10">
        <v>5</v>
      </c>
      <c r="G15" t="s">
        <v>21</v>
      </c>
      <c r="H15" t="s">
        <v>38</v>
      </c>
      <c r="I15" t="s">
        <v>39</v>
      </c>
      <c r="J15" t="s">
        <v>38</v>
      </c>
      <c r="K15" s="10">
        <v>0</v>
      </c>
      <c r="L15" s="10">
        <v>0</v>
      </c>
      <c r="M15" s="10">
        <v>5</v>
      </c>
    </row>
    <row r="16" spans="1:13" x14ac:dyDescent="0.25">
      <c r="A16">
        <v>3245</v>
      </c>
      <c r="B16" t="s">
        <v>52</v>
      </c>
      <c r="C16" t="s">
        <v>19</v>
      </c>
      <c r="D16" s="8">
        <v>45362</v>
      </c>
      <c r="E16" t="s">
        <v>38</v>
      </c>
      <c r="F16" s="10">
        <v>15</v>
      </c>
      <c r="G16" t="s">
        <v>20</v>
      </c>
      <c r="H16" t="s">
        <v>36</v>
      </c>
      <c r="I16" s="10">
        <v>30</v>
      </c>
      <c r="J16" t="s">
        <v>36</v>
      </c>
      <c r="K16" s="10">
        <v>20</v>
      </c>
      <c r="L16" s="10">
        <v>8</v>
      </c>
      <c r="M16" s="10">
        <v>57</v>
      </c>
    </row>
    <row r="17" spans="1:13" x14ac:dyDescent="0.25">
      <c r="A17">
        <v>3246</v>
      </c>
      <c r="B17" t="s">
        <v>53</v>
      </c>
      <c r="C17" t="s">
        <v>18</v>
      </c>
      <c r="D17" s="8">
        <v>45363</v>
      </c>
      <c r="E17" t="s">
        <v>36</v>
      </c>
      <c r="F17" s="10">
        <v>10</v>
      </c>
      <c r="G17" t="s">
        <v>22</v>
      </c>
      <c r="H17" t="s">
        <v>38</v>
      </c>
      <c r="I17" t="s">
        <v>39</v>
      </c>
      <c r="J17" t="s">
        <v>36</v>
      </c>
      <c r="K17" s="10">
        <v>20</v>
      </c>
      <c r="L17" s="10">
        <v>12</v>
      </c>
      <c r="M17" s="10">
        <v>18</v>
      </c>
    </row>
    <row r="18" spans="1:13" x14ac:dyDescent="0.25">
      <c r="A18">
        <v>3247</v>
      </c>
      <c r="B18" t="s">
        <v>54</v>
      </c>
      <c r="C18" t="s">
        <v>17</v>
      </c>
      <c r="D18" s="8">
        <v>45364</v>
      </c>
      <c r="E18" t="s">
        <v>38</v>
      </c>
      <c r="F18" s="10">
        <v>5</v>
      </c>
      <c r="G18" t="s">
        <v>20</v>
      </c>
      <c r="H18" t="s">
        <v>38</v>
      </c>
      <c r="I18" t="s">
        <v>39</v>
      </c>
      <c r="J18" t="s">
        <v>38</v>
      </c>
      <c r="K18" s="10">
        <v>0</v>
      </c>
      <c r="L18" s="10">
        <v>2</v>
      </c>
      <c r="M18" s="10">
        <v>3</v>
      </c>
    </row>
    <row r="19" spans="1:13" x14ac:dyDescent="0.25">
      <c r="A19">
        <v>3248</v>
      </c>
      <c r="B19" t="s">
        <v>55</v>
      </c>
      <c r="C19" t="s">
        <v>19</v>
      </c>
      <c r="D19" s="8">
        <v>45365</v>
      </c>
      <c r="E19" t="s">
        <v>36</v>
      </c>
      <c r="F19" s="10">
        <v>15</v>
      </c>
      <c r="G19" t="s">
        <v>21</v>
      </c>
      <c r="H19" t="s">
        <v>36</v>
      </c>
      <c r="I19" s="10">
        <v>30</v>
      </c>
      <c r="J19" t="s">
        <v>36</v>
      </c>
      <c r="K19" s="10">
        <v>20</v>
      </c>
      <c r="L19" s="10">
        <v>7</v>
      </c>
      <c r="M19" s="10">
        <v>58</v>
      </c>
    </row>
    <row r="20" spans="1:13" x14ac:dyDescent="0.25">
      <c r="A20">
        <v>3249</v>
      </c>
      <c r="B20" t="s">
        <v>56</v>
      </c>
      <c r="C20" t="s">
        <v>18</v>
      </c>
      <c r="D20" s="8">
        <v>45366</v>
      </c>
      <c r="E20" t="s">
        <v>38</v>
      </c>
      <c r="F20" s="10">
        <v>10</v>
      </c>
      <c r="G20" t="s">
        <v>20</v>
      </c>
      <c r="H20" t="s">
        <v>38</v>
      </c>
      <c r="I20" t="s">
        <v>39</v>
      </c>
      <c r="J20" t="s">
        <v>36</v>
      </c>
      <c r="K20" s="10">
        <v>20</v>
      </c>
      <c r="L20" s="10">
        <v>5</v>
      </c>
      <c r="M20" s="10">
        <v>25</v>
      </c>
    </row>
    <row r="21" spans="1:13" x14ac:dyDescent="0.25">
      <c r="A21">
        <v>3250</v>
      </c>
      <c r="B21" t="s">
        <v>57</v>
      </c>
      <c r="C21" t="s">
        <v>17</v>
      </c>
      <c r="D21" s="8">
        <v>45367</v>
      </c>
      <c r="E21" t="s">
        <v>36</v>
      </c>
      <c r="F21" s="10">
        <v>5</v>
      </c>
      <c r="G21" t="s">
        <v>22</v>
      </c>
      <c r="H21" t="s">
        <v>38</v>
      </c>
      <c r="I21" t="s">
        <v>39</v>
      </c>
      <c r="J21" t="s">
        <v>38</v>
      </c>
      <c r="K21" s="10">
        <v>0</v>
      </c>
      <c r="L21" s="10">
        <v>0</v>
      </c>
      <c r="M21" s="10">
        <v>5</v>
      </c>
    </row>
    <row r="22" spans="1:13" x14ac:dyDescent="0.25">
      <c r="A22">
        <v>3251</v>
      </c>
      <c r="B22" t="s">
        <v>58</v>
      </c>
      <c r="C22" t="s">
        <v>19</v>
      </c>
      <c r="D22" s="8">
        <v>45368</v>
      </c>
      <c r="E22" t="s">
        <v>38</v>
      </c>
      <c r="F22" s="10">
        <v>15</v>
      </c>
      <c r="G22" t="s">
        <v>20</v>
      </c>
      <c r="H22" t="s">
        <v>36</v>
      </c>
      <c r="I22" s="10">
        <v>30</v>
      </c>
      <c r="J22" t="s">
        <v>36</v>
      </c>
      <c r="K22" s="10">
        <v>20</v>
      </c>
      <c r="L22" s="10">
        <v>3</v>
      </c>
      <c r="M22" s="10">
        <v>62</v>
      </c>
    </row>
    <row r="23" spans="1:13" x14ac:dyDescent="0.25">
      <c r="A23">
        <v>3252</v>
      </c>
      <c r="B23" t="s">
        <v>59</v>
      </c>
      <c r="C23" t="s">
        <v>18</v>
      </c>
      <c r="D23" s="8">
        <v>45369</v>
      </c>
      <c r="E23" t="s">
        <v>36</v>
      </c>
      <c r="F23" s="10">
        <v>10</v>
      </c>
      <c r="G23" t="s">
        <v>21</v>
      </c>
      <c r="H23" t="s">
        <v>38</v>
      </c>
      <c r="I23" t="s">
        <v>39</v>
      </c>
      <c r="J23" t="s">
        <v>36</v>
      </c>
      <c r="K23" s="10">
        <v>20</v>
      </c>
      <c r="L23" s="10">
        <v>15</v>
      </c>
      <c r="M23" s="10">
        <v>15</v>
      </c>
    </row>
    <row r="24" spans="1:13" x14ac:dyDescent="0.25">
      <c r="A24">
        <v>3253</v>
      </c>
      <c r="B24" t="s">
        <v>60</v>
      </c>
      <c r="C24" t="s">
        <v>17</v>
      </c>
      <c r="D24" s="8">
        <v>45370</v>
      </c>
      <c r="E24" t="s">
        <v>38</v>
      </c>
      <c r="F24" s="10">
        <v>5</v>
      </c>
      <c r="G24" t="s">
        <v>20</v>
      </c>
      <c r="H24" t="s">
        <v>38</v>
      </c>
      <c r="I24" t="s">
        <v>39</v>
      </c>
      <c r="J24" t="s">
        <v>38</v>
      </c>
      <c r="K24" s="10">
        <v>0</v>
      </c>
      <c r="L24" s="10">
        <v>1</v>
      </c>
      <c r="M24" s="10">
        <v>4</v>
      </c>
    </row>
    <row r="25" spans="1:13" x14ac:dyDescent="0.25">
      <c r="A25">
        <v>3254</v>
      </c>
      <c r="B25" t="s">
        <v>61</v>
      </c>
      <c r="C25" t="s">
        <v>19</v>
      </c>
      <c r="D25" s="8">
        <v>45371</v>
      </c>
      <c r="E25" t="s">
        <v>36</v>
      </c>
      <c r="F25" s="10">
        <v>15</v>
      </c>
      <c r="G25" t="s">
        <v>22</v>
      </c>
      <c r="H25" t="s">
        <v>36</v>
      </c>
      <c r="I25" s="10">
        <v>30</v>
      </c>
      <c r="J25" t="s">
        <v>36</v>
      </c>
      <c r="K25" s="10">
        <v>20</v>
      </c>
      <c r="L25" s="10">
        <v>20</v>
      </c>
      <c r="M25" s="10">
        <v>45</v>
      </c>
    </row>
    <row r="26" spans="1:13" x14ac:dyDescent="0.25">
      <c r="A26">
        <v>3255</v>
      </c>
      <c r="B26" t="s">
        <v>62</v>
      </c>
      <c r="C26" t="s">
        <v>18</v>
      </c>
      <c r="D26" s="8">
        <v>45372</v>
      </c>
      <c r="E26" t="s">
        <v>38</v>
      </c>
      <c r="F26" s="10">
        <v>10</v>
      </c>
      <c r="G26" t="s">
        <v>20</v>
      </c>
      <c r="H26" t="s">
        <v>38</v>
      </c>
      <c r="I26" t="s">
        <v>39</v>
      </c>
      <c r="J26" t="s">
        <v>36</v>
      </c>
      <c r="K26" s="10">
        <v>20</v>
      </c>
      <c r="L26" s="10">
        <v>10</v>
      </c>
      <c r="M26" s="10">
        <v>20</v>
      </c>
    </row>
    <row r="27" spans="1:13" x14ac:dyDescent="0.25">
      <c r="A27">
        <v>3256</v>
      </c>
      <c r="B27" t="s">
        <v>63</v>
      </c>
      <c r="C27" t="s">
        <v>17</v>
      </c>
      <c r="D27" s="8">
        <v>45373</v>
      </c>
      <c r="E27" t="s">
        <v>36</v>
      </c>
      <c r="F27" s="10">
        <v>5</v>
      </c>
      <c r="G27" t="s">
        <v>21</v>
      </c>
      <c r="H27" t="s">
        <v>38</v>
      </c>
      <c r="I27" t="s">
        <v>39</v>
      </c>
      <c r="J27" t="s">
        <v>38</v>
      </c>
      <c r="K27" s="10">
        <v>0</v>
      </c>
      <c r="L27" s="10">
        <v>0</v>
      </c>
      <c r="M27" s="10">
        <v>5</v>
      </c>
    </row>
    <row r="28" spans="1:13" x14ac:dyDescent="0.25">
      <c r="A28">
        <v>3257</v>
      </c>
      <c r="B28" t="s">
        <v>64</v>
      </c>
      <c r="C28" t="s">
        <v>19</v>
      </c>
      <c r="D28" s="8">
        <v>45374</v>
      </c>
      <c r="E28" t="s">
        <v>38</v>
      </c>
      <c r="F28" s="10">
        <v>15</v>
      </c>
      <c r="G28" t="s">
        <v>20</v>
      </c>
      <c r="H28" t="s">
        <v>36</v>
      </c>
      <c r="I28" s="10">
        <v>30</v>
      </c>
      <c r="J28" t="s">
        <v>36</v>
      </c>
      <c r="K28" s="10">
        <v>20</v>
      </c>
      <c r="L28" s="10">
        <v>5</v>
      </c>
      <c r="M28" s="10">
        <v>60</v>
      </c>
    </row>
    <row r="29" spans="1:13" x14ac:dyDescent="0.25">
      <c r="A29">
        <v>3258</v>
      </c>
      <c r="B29" t="s">
        <v>65</v>
      </c>
      <c r="C29" t="s">
        <v>18</v>
      </c>
      <c r="D29" s="8">
        <v>45375</v>
      </c>
      <c r="E29" t="s">
        <v>36</v>
      </c>
      <c r="F29" s="10">
        <v>10</v>
      </c>
      <c r="G29" t="s">
        <v>22</v>
      </c>
      <c r="H29" t="s">
        <v>38</v>
      </c>
      <c r="I29" t="s">
        <v>39</v>
      </c>
      <c r="J29" t="s">
        <v>36</v>
      </c>
      <c r="K29" s="10">
        <v>20</v>
      </c>
      <c r="L29" s="10">
        <v>15</v>
      </c>
      <c r="M29" s="10">
        <v>15</v>
      </c>
    </row>
    <row r="30" spans="1:13" x14ac:dyDescent="0.25">
      <c r="A30">
        <v>3259</v>
      </c>
      <c r="B30" t="s">
        <v>66</v>
      </c>
      <c r="C30" t="s">
        <v>17</v>
      </c>
      <c r="D30" s="8">
        <v>45376</v>
      </c>
      <c r="E30" t="s">
        <v>38</v>
      </c>
      <c r="F30" s="10">
        <v>5</v>
      </c>
      <c r="G30" t="s">
        <v>20</v>
      </c>
      <c r="H30" t="s">
        <v>38</v>
      </c>
      <c r="I30" t="s">
        <v>39</v>
      </c>
      <c r="J30" t="s">
        <v>38</v>
      </c>
      <c r="K30" s="10">
        <v>0</v>
      </c>
      <c r="L30" s="10">
        <v>1</v>
      </c>
      <c r="M30" s="10">
        <v>4</v>
      </c>
    </row>
    <row r="31" spans="1:13" x14ac:dyDescent="0.25">
      <c r="A31">
        <v>3260</v>
      </c>
      <c r="B31" t="s">
        <v>67</v>
      </c>
      <c r="C31" t="s">
        <v>19</v>
      </c>
      <c r="D31" s="8">
        <v>45377</v>
      </c>
      <c r="E31" t="s">
        <v>36</v>
      </c>
      <c r="F31" s="10">
        <v>15</v>
      </c>
      <c r="G31" t="s">
        <v>21</v>
      </c>
      <c r="H31" t="s">
        <v>36</v>
      </c>
      <c r="I31" s="10">
        <v>30</v>
      </c>
      <c r="J31" t="s">
        <v>36</v>
      </c>
      <c r="K31" s="10">
        <v>20</v>
      </c>
      <c r="L31" s="10">
        <v>7</v>
      </c>
      <c r="M31" s="10">
        <v>58</v>
      </c>
    </row>
    <row r="32" spans="1:13" x14ac:dyDescent="0.25">
      <c r="A32">
        <v>3261</v>
      </c>
      <c r="B32" t="s">
        <v>68</v>
      </c>
      <c r="C32" t="s">
        <v>18</v>
      </c>
      <c r="D32" s="8">
        <v>45378</v>
      </c>
      <c r="E32" t="s">
        <v>38</v>
      </c>
      <c r="F32" s="10">
        <v>10</v>
      </c>
      <c r="G32" t="s">
        <v>20</v>
      </c>
      <c r="H32" t="s">
        <v>38</v>
      </c>
      <c r="I32" t="s">
        <v>39</v>
      </c>
      <c r="J32" t="s">
        <v>36</v>
      </c>
      <c r="K32" s="10">
        <v>20</v>
      </c>
      <c r="L32" s="10">
        <v>10</v>
      </c>
      <c r="M32" s="10">
        <v>20</v>
      </c>
    </row>
    <row r="33" spans="1:13" x14ac:dyDescent="0.25">
      <c r="A33">
        <v>3262</v>
      </c>
      <c r="B33" t="s">
        <v>69</v>
      </c>
      <c r="C33" t="s">
        <v>17</v>
      </c>
      <c r="D33" s="8">
        <v>45379</v>
      </c>
      <c r="E33" t="s">
        <v>36</v>
      </c>
      <c r="F33" s="10">
        <v>5</v>
      </c>
      <c r="G33" t="s">
        <v>22</v>
      </c>
      <c r="H33" t="s">
        <v>38</v>
      </c>
      <c r="I33" t="s">
        <v>39</v>
      </c>
      <c r="J33" t="s">
        <v>38</v>
      </c>
      <c r="K33" s="10">
        <v>0</v>
      </c>
      <c r="L33" s="10">
        <v>0</v>
      </c>
      <c r="M33" s="10">
        <v>5</v>
      </c>
    </row>
    <row r="34" spans="1:13" x14ac:dyDescent="0.25">
      <c r="A34">
        <v>3263</v>
      </c>
      <c r="B34" t="s">
        <v>70</v>
      </c>
      <c r="C34" t="s">
        <v>19</v>
      </c>
      <c r="D34" s="8">
        <v>45380</v>
      </c>
      <c r="E34" t="s">
        <v>38</v>
      </c>
      <c r="F34" s="10">
        <v>15</v>
      </c>
      <c r="G34" t="s">
        <v>20</v>
      </c>
      <c r="H34" t="s">
        <v>36</v>
      </c>
      <c r="I34" s="10">
        <v>30</v>
      </c>
      <c r="J34" t="s">
        <v>36</v>
      </c>
      <c r="K34" s="10">
        <v>20</v>
      </c>
      <c r="L34" s="10">
        <v>3</v>
      </c>
      <c r="M34" s="10">
        <v>62</v>
      </c>
    </row>
    <row r="35" spans="1:13" x14ac:dyDescent="0.25">
      <c r="A35">
        <v>3264</v>
      </c>
      <c r="B35" t="s">
        <v>71</v>
      </c>
      <c r="C35" t="s">
        <v>18</v>
      </c>
      <c r="D35" s="8">
        <v>45381</v>
      </c>
      <c r="E35" t="s">
        <v>36</v>
      </c>
      <c r="F35" s="10">
        <v>10</v>
      </c>
      <c r="G35" t="s">
        <v>21</v>
      </c>
      <c r="H35" t="s">
        <v>38</v>
      </c>
      <c r="I35" t="s">
        <v>39</v>
      </c>
      <c r="J35" t="s">
        <v>36</v>
      </c>
      <c r="K35" s="10">
        <v>20</v>
      </c>
      <c r="L35" s="10">
        <v>15</v>
      </c>
      <c r="M35" s="10">
        <v>15</v>
      </c>
    </row>
    <row r="36" spans="1:13" x14ac:dyDescent="0.25">
      <c r="A36">
        <v>3265</v>
      </c>
      <c r="B36" t="s">
        <v>72</v>
      </c>
      <c r="C36" t="s">
        <v>17</v>
      </c>
      <c r="D36" s="8">
        <v>45382</v>
      </c>
      <c r="E36" t="s">
        <v>38</v>
      </c>
      <c r="F36" s="10">
        <v>5</v>
      </c>
      <c r="G36" t="s">
        <v>20</v>
      </c>
      <c r="H36" t="s">
        <v>38</v>
      </c>
      <c r="I36" t="s">
        <v>39</v>
      </c>
      <c r="J36" t="s">
        <v>38</v>
      </c>
      <c r="K36" s="10">
        <v>0</v>
      </c>
      <c r="L36" s="10">
        <v>1</v>
      </c>
      <c r="M36" s="10">
        <v>4</v>
      </c>
    </row>
    <row r="37" spans="1:13" x14ac:dyDescent="0.25">
      <c r="A37">
        <v>3266</v>
      </c>
      <c r="B37" t="s">
        <v>73</v>
      </c>
      <c r="C37" t="s">
        <v>17</v>
      </c>
      <c r="D37" s="8">
        <v>45383</v>
      </c>
      <c r="E37" t="s">
        <v>36</v>
      </c>
      <c r="F37" s="10">
        <v>5</v>
      </c>
      <c r="G37" t="s">
        <v>20</v>
      </c>
      <c r="H37" t="s">
        <v>38</v>
      </c>
      <c r="I37" t="s">
        <v>39</v>
      </c>
      <c r="J37" t="s">
        <v>38</v>
      </c>
      <c r="K37" s="10">
        <v>0</v>
      </c>
      <c r="L37" s="10">
        <v>0</v>
      </c>
      <c r="M37" s="10">
        <v>5</v>
      </c>
    </row>
    <row r="38" spans="1:13" x14ac:dyDescent="0.25">
      <c r="A38">
        <v>3267</v>
      </c>
      <c r="B38" t="s">
        <v>74</v>
      </c>
      <c r="C38" t="s">
        <v>19</v>
      </c>
      <c r="D38" s="8">
        <v>45384</v>
      </c>
      <c r="E38" t="s">
        <v>38</v>
      </c>
      <c r="F38" s="10">
        <v>15</v>
      </c>
      <c r="G38" t="s">
        <v>21</v>
      </c>
      <c r="H38" t="s">
        <v>36</v>
      </c>
      <c r="I38" s="10">
        <v>30</v>
      </c>
      <c r="J38" t="s">
        <v>36</v>
      </c>
      <c r="K38" s="10">
        <v>20</v>
      </c>
      <c r="L38" s="10">
        <v>7</v>
      </c>
      <c r="M38" s="10">
        <v>58</v>
      </c>
    </row>
    <row r="39" spans="1:13" x14ac:dyDescent="0.25">
      <c r="A39">
        <v>3268</v>
      </c>
      <c r="B39" t="s">
        <v>75</v>
      </c>
      <c r="C39" t="s">
        <v>18</v>
      </c>
      <c r="D39" s="8">
        <v>45385</v>
      </c>
      <c r="E39" t="s">
        <v>36</v>
      </c>
      <c r="F39" s="10">
        <v>10</v>
      </c>
      <c r="G39" t="s">
        <v>22</v>
      </c>
      <c r="H39" t="s">
        <v>38</v>
      </c>
      <c r="I39" t="s">
        <v>39</v>
      </c>
      <c r="J39" t="s">
        <v>36</v>
      </c>
      <c r="K39" s="10">
        <v>20</v>
      </c>
      <c r="L39" s="10">
        <v>10</v>
      </c>
      <c r="M39" s="10">
        <v>20</v>
      </c>
    </row>
    <row r="40" spans="1:13" x14ac:dyDescent="0.25">
      <c r="A40">
        <v>3269</v>
      </c>
      <c r="B40" t="s">
        <v>76</v>
      </c>
      <c r="C40" t="s">
        <v>17</v>
      </c>
      <c r="D40" s="8">
        <v>45386</v>
      </c>
      <c r="E40" t="s">
        <v>38</v>
      </c>
      <c r="F40" s="10">
        <v>5</v>
      </c>
      <c r="G40" t="s">
        <v>21</v>
      </c>
      <c r="H40" t="s">
        <v>38</v>
      </c>
      <c r="I40" t="s">
        <v>39</v>
      </c>
      <c r="J40" t="s">
        <v>38</v>
      </c>
      <c r="K40" s="10">
        <v>0</v>
      </c>
      <c r="L40" s="10">
        <v>1</v>
      </c>
      <c r="M40" s="10">
        <v>4</v>
      </c>
    </row>
    <row r="41" spans="1:13" x14ac:dyDescent="0.25">
      <c r="A41">
        <v>3270</v>
      </c>
      <c r="B41" t="s">
        <v>77</v>
      </c>
      <c r="C41" t="s">
        <v>19</v>
      </c>
      <c r="D41" s="8">
        <v>45387</v>
      </c>
      <c r="E41" t="s">
        <v>36</v>
      </c>
      <c r="F41" s="10">
        <v>15</v>
      </c>
      <c r="G41" t="s">
        <v>20</v>
      </c>
      <c r="H41" t="s">
        <v>36</v>
      </c>
      <c r="I41" s="10">
        <v>30</v>
      </c>
      <c r="J41" t="s">
        <v>36</v>
      </c>
      <c r="K41" s="10">
        <v>20</v>
      </c>
      <c r="L41" s="10">
        <v>15</v>
      </c>
      <c r="M41" s="10">
        <v>50</v>
      </c>
    </row>
    <row r="42" spans="1:13" x14ac:dyDescent="0.25">
      <c r="A42">
        <v>3271</v>
      </c>
      <c r="B42" t="s">
        <v>78</v>
      </c>
      <c r="C42" t="s">
        <v>18</v>
      </c>
      <c r="D42" s="8">
        <v>45388</v>
      </c>
      <c r="E42" t="s">
        <v>38</v>
      </c>
      <c r="F42" s="10">
        <v>10</v>
      </c>
      <c r="G42" t="s">
        <v>20</v>
      </c>
      <c r="H42" t="s">
        <v>38</v>
      </c>
      <c r="I42" t="s">
        <v>39</v>
      </c>
      <c r="J42" t="s">
        <v>36</v>
      </c>
      <c r="K42" s="10">
        <v>20</v>
      </c>
      <c r="L42" s="10">
        <v>5</v>
      </c>
      <c r="M42" s="10">
        <v>25</v>
      </c>
    </row>
    <row r="43" spans="1:13" x14ac:dyDescent="0.25">
      <c r="A43">
        <v>3272</v>
      </c>
      <c r="B43" t="s">
        <v>79</v>
      </c>
      <c r="C43" t="s">
        <v>17</v>
      </c>
      <c r="D43" s="8">
        <v>45389</v>
      </c>
      <c r="E43" t="s">
        <v>36</v>
      </c>
      <c r="F43" s="10">
        <v>5</v>
      </c>
      <c r="G43" t="s">
        <v>22</v>
      </c>
      <c r="H43" t="s">
        <v>38</v>
      </c>
      <c r="I43" t="s">
        <v>39</v>
      </c>
      <c r="J43" t="s">
        <v>38</v>
      </c>
      <c r="K43" s="10">
        <v>0</v>
      </c>
      <c r="L43" s="10">
        <v>0</v>
      </c>
      <c r="M43" s="10">
        <v>5</v>
      </c>
    </row>
    <row r="44" spans="1:13" x14ac:dyDescent="0.25">
      <c r="A44">
        <v>3273</v>
      </c>
      <c r="B44" t="s">
        <v>80</v>
      </c>
      <c r="C44" t="s">
        <v>19</v>
      </c>
      <c r="D44" s="8">
        <v>45390</v>
      </c>
      <c r="E44" t="s">
        <v>38</v>
      </c>
      <c r="F44" s="10">
        <v>15</v>
      </c>
      <c r="G44" t="s">
        <v>21</v>
      </c>
      <c r="H44" t="s">
        <v>36</v>
      </c>
      <c r="I44" s="10">
        <v>30</v>
      </c>
      <c r="J44" t="s">
        <v>36</v>
      </c>
      <c r="K44" s="10">
        <v>20</v>
      </c>
      <c r="L44" s="10">
        <v>20</v>
      </c>
      <c r="M44" s="10">
        <v>45</v>
      </c>
    </row>
    <row r="45" spans="1:13" x14ac:dyDescent="0.25">
      <c r="A45">
        <v>3274</v>
      </c>
      <c r="B45" t="s">
        <v>81</v>
      </c>
      <c r="C45" t="s">
        <v>18</v>
      </c>
      <c r="D45" s="8">
        <v>45391</v>
      </c>
      <c r="E45" t="s">
        <v>36</v>
      </c>
      <c r="F45" s="10">
        <v>10</v>
      </c>
      <c r="G45" t="s">
        <v>21</v>
      </c>
      <c r="H45" t="s">
        <v>38</v>
      </c>
      <c r="I45" t="s">
        <v>39</v>
      </c>
      <c r="J45" t="s">
        <v>36</v>
      </c>
      <c r="K45" s="10">
        <v>20</v>
      </c>
      <c r="L45" s="10">
        <v>12</v>
      </c>
      <c r="M45" s="10">
        <v>18</v>
      </c>
    </row>
    <row r="46" spans="1:13" x14ac:dyDescent="0.25">
      <c r="A46">
        <v>3275</v>
      </c>
      <c r="B46" t="s">
        <v>82</v>
      </c>
      <c r="C46" t="s">
        <v>17</v>
      </c>
      <c r="D46" s="8">
        <v>45392</v>
      </c>
      <c r="E46" t="s">
        <v>38</v>
      </c>
      <c r="F46" s="10">
        <v>5</v>
      </c>
      <c r="G46" t="s">
        <v>20</v>
      </c>
      <c r="H46" t="s">
        <v>38</v>
      </c>
      <c r="I46" t="s">
        <v>39</v>
      </c>
      <c r="J46" t="s">
        <v>38</v>
      </c>
      <c r="K46" s="10">
        <v>0</v>
      </c>
      <c r="L46" s="10">
        <v>2</v>
      </c>
      <c r="M46" s="10">
        <v>3</v>
      </c>
    </row>
    <row r="47" spans="1:13" x14ac:dyDescent="0.25">
      <c r="A47">
        <v>3276</v>
      </c>
      <c r="B47" t="s">
        <v>83</v>
      </c>
      <c r="C47" t="s">
        <v>19</v>
      </c>
      <c r="D47" s="8">
        <v>45393</v>
      </c>
      <c r="E47" t="s">
        <v>36</v>
      </c>
      <c r="F47" s="10">
        <v>15</v>
      </c>
      <c r="G47" t="s">
        <v>22</v>
      </c>
      <c r="H47" t="s">
        <v>36</v>
      </c>
      <c r="I47" s="10">
        <v>30</v>
      </c>
      <c r="J47" t="s">
        <v>36</v>
      </c>
      <c r="K47" s="10">
        <v>20</v>
      </c>
      <c r="L47" s="10">
        <v>5</v>
      </c>
      <c r="M47" s="10">
        <v>60</v>
      </c>
    </row>
    <row r="48" spans="1:13" x14ac:dyDescent="0.25">
      <c r="A48">
        <v>3277</v>
      </c>
      <c r="B48" t="s">
        <v>84</v>
      </c>
      <c r="C48" t="s">
        <v>18</v>
      </c>
      <c r="D48" s="8">
        <v>45394</v>
      </c>
      <c r="E48" t="s">
        <v>38</v>
      </c>
      <c r="F48" s="10">
        <v>10</v>
      </c>
      <c r="G48" t="s">
        <v>20</v>
      </c>
      <c r="H48" t="s">
        <v>38</v>
      </c>
      <c r="I48" t="s">
        <v>39</v>
      </c>
      <c r="J48" t="s">
        <v>36</v>
      </c>
      <c r="K48" s="10">
        <v>20</v>
      </c>
      <c r="L48" s="10">
        <v>10</v>
      </c>
      <c r="M48" s="10">
        <v>20</v>
      </c>
    </row>
    <row r="49" spans="1:13" x14ac:dyDescent="0.25">
      <c r="A49">
        <v>3278</v>
      </c>
      <c r="B49" t="s">
        <v>85</v>
      </c>
      <c r="C49" t="s">
        <v>17</v>
      </c>
      <c r="D49" s="8">
        <v>45395</v>
      </c>
      <c r="E49" t="s">
        <v>36</v>
      </c>
      <c r="F49" s="10">
        <v>5</v>
      </c>
      <c r="G49" t="s">
        <v>21</v>
      </c>
      <c r="H49" t="s">
        <v>38</v>
      </c>
      <c r="I49" t="s">
        <v>39</v>
      </c>
      <c r="J49" t="s">
        <v>38</v>
      </c>
      <c r="K49" s="10">
        <v>0</v>
      </c>
      <c r="L49" s="10">
        <v>0</v>
      </c>
      <c r="M49" s="10">
        <v>5</v>
      </c>
    </row>
    <row r="50" spans="1:13" x14ac:dyDescent="0.25">
      <c r="A50">
        <v>3279</v>
      </c>
      <c r="B50" t="s">
        <v>86</v>
      </c>
      <c r="C50" t="s">
        <v>19</v>
      </c>
      <c r="D50" s="8">
        <v>45396</v>
      </c>
      <c r="E50" t="s">
        <v>38</v>
      </c>
      <c r="F50" s="10">
        <v>15</v>
      </c>
      <c r="G50" t="s">
        <v>20</v>
      </c>
      <c r="H50" t="s">
        <v>36</v>
      </c>
      <c r="I50" s="10">
        <v>30</v>
      </c>
      <c r="J50" t="s">
        <v>36</v>
      </c>
      <c r="K50" s="10">
        <v>20</v>
      </c>
      <c r="L50" s="10">
        <v>3</v>
      </c>
      <c r="M50" s="10">
        <v>62</v>
      </c>
    </row>
    <row r="51" spans="1:13" x14ac:dyDescent="0.25">
      <c r="A51">
        <v>3280</v>
      </c>
      <c r="B51" t="s">
        <v>87</v>
      </c>
      <c r="C51" t="s">
        <v>18</v>
      </c>
      <c r="D51" s="8">
        <v>45397</v>
      </c>
      <c r="E51" t="s">
        <v>36</v>
      </c>
      <c r="F51" s="10">
        <v>10</v>
      </c>
      <c r="G51" t="s">
        <v>22</v>
      </c>
      <c r="H51" t="s">
        <v>38</v>
      </c>
      <c r="I51" t="s">
        <v>39</v>
      </c>
      <c r="J51" t="s">
        <v>36</v>
      </c>
      <c r="K51" s="10">
        <v>20</v>
      </c>
      <c r="L51" s="10">
        <v>15</v>
      </c>
      <c r="M51" s="10">
        <v>15</v>
      </c>
    </row>
    <row r="52" spans="1:13" x14ac:dyDescent="0.25">
      <c r="A52">
        <v>3281</v>
      </c>
      <c r="B52" t="s">
        <v>88</v>
      </c>
      <c r="C52" t="s">
        <v>17</v>
      </c>
      <c r="D52" s="8">
        <v>45398</v>
      </c>
      <c r="E52" t="s">
        <v>38</v>
      </c>
      <c r="F52" s="10">
        <v>5</v>
      </c>
      <c r="G52" t="s">
        <v>20</v>
      </c>
      <c r="H52" t="s">
        <v>38</v>
      </c>
      <c r="I52" t="s">
        <v>39</v>
      </c>
      <c r="J52" t="s">
        <v>38</v>
      </c>
      <c r="K52" s="10">
        <v>0</v>
      </c>
      <c r="L52" s="10">
        <v>1</v>
      </c>
      <c r="M52" s="10">
        <v>4</v>
      </c>
    </row>
    <row r="53" spans="1:13" x14ac:dyDescent="0.25">
      <c r="A53">
        <v>3282</v>
      </c>
      <c r="B53" t="s">
        <v>89</v>
      </c>
      <c r="C53" t="s">
        <v>19</v>
      </c>
      <c r="D53" s="8">
        <v>45399</v>
      </c>
      <c r="E53" t="s">
        <v>36</v>
      </c>
      <c r="F53" s="10">
        <v>15</v>
      </c>
      <c r="G53" t="s">
        <v>21</v>
      </c>
      <c r="H53" t="s">
        <v>36</v>
      </c>
      <c r="I53" s="10">
        <v>30</v>
      </c>
      <c r="J53" t="s">
        <v>36</v>
      </c>
      <c r="K53" s="10">
        <v>20</v>
      </c>
      <c r="L53" s="10">
        <v>7</v>
      </c>
      <c r="M53" s="10">
        <v>58</v>
      </c>
    </row>
    <row r="54" spans="1:13" x14ac:dyDescent="0.25">
      <c r="A54">
        <v>3283</v>
      </c>
      <c r="B54" t="s">
        <v>90</v>
      </c>
      <c r="C54" t="s">
        <v>18</v>
      </c>
      <c r="D54" s="8">
        <v>45400</v>
      </c>
      <c r="E54" t="s">
        <v>38</v>
      </c>
      <c r="F54" s="10">
        <v>10</v>
      </c>
      <c r="G54" t="s">
        <v>20</v>
      </c>
      <c r="H54" t="s">
        <v>38</v>
      </c>
      <c r="I54" t="s">
        <v>39</v>
      </c>
      <c r="J54" t="s">
        <v>36</v>
      </c>
      <c r="K54" s="10">
        <v>20</v>
      </c>
      <c r="L54" s="10">
        <v>10</v>
      </c>
      <c r="M54" s="10">
        <v>20</v>
      </c>
    </row>
    <row r="55" spans="1:13" x14ac:dyDescent="0.25">
      <c r="A55">
        <v>3284</v>
      </c>
      <c r="B55" t="s">
        <v>91</v>
      </c>
      <c r="C55" t="s">
        <v>17</v>
      </c>
      <c r="D55" s="8">
        <v>45401</v>
      </c>
      <c r="E55" t="s">
        <v>36</v>
      </c>
      <c r="F55" s="10">
        <v>5</v>
      </c>
      <c r="G55" t="s">
        <v>22</v>
      </c>
      <c r="H55" t="s">
        <v>38</v>
      </c>
      <c r="I55" t="s">
        <v>39</v>
      </c>
      <c r="J55" t="s">
        <v>38</v>
      </c>
      <c r="K55" s="10">
        <v>0</v>
      </c>
      <c r="L55" s="10">
        <v>0</v>
      </c>
      <c r="M55" s="10">
        <v>5</v>
      </c>
    </row>
    <row r="56" spans="1:13" x14ac:dyDescent="0.25">
      <c r="A56">
        <v>3285</v>
      </c>
      <c r="B56" t="s">
        <v>92</v>
      </c>
      <c r="C56" t="s">
        <v>19</v>
      </c>
      <c r="D56" s="8">
        <v>45402</v>
      </c>
      <c r="E56" t="s">
        <v>38</v>
      </c>
      <c r="F56" s="10">
        <v>15</v>
      </c>
      <c r="G56" t="s">
        <v>20</v>
      </c>
      <c r="H56" t="s">
        <v>36</v>
      </c>
      <c r="I56" s="10">
        <v>30</v>
      </c>
      <c r="J56" t="s">
        <v>36</v>
      </c>
      <c r="K56" s="10">
        <v>20</v>
      </c>
      <c r="L56" s="10">
        <v>20</v>
      </c>
      <c r="M56" s="10">
        <v>45</v>
      </c>
    </row>
    <row r="57" spans="1:13" x14ac:dyDescent="0.25">
      <c r="A57">
        <v>3286</v>
      </c>
      <c r="B57" t="s">
        <v>93</v>
      </c>
      <c r="C57" t="s">
        <v>18</v>
      </c>
      <c r="D57" s="8">
        <v>45403</v>
      </c>
      <c r="E57" t="s">
        <v>36</v>
      </c>
      <c r="F57" s="10">
        <v>10</v>
      </c>
      <c r="G57" t="s">
        <v>21</v>
      </c>
      <c r="H57" t="s">
        <v>38</v>
      </c>
      <c r="I57" t="s">
        <v>39</v>
      </c>
      <c r="J57" t="s">
        <v>36</v>
      </c>
      <c r="K57" s="10">
        <v>20</v>
      </c>
      <c r="L57" s="10">
        <v>15</v>
      </c>
      <c r="M57" s="10">
        <v>15</v>
      </c>
    </row>
    <row r="58" spans="1:13" x14ac:dyDescent="0.25">
      <c r="A58">
        <v>3287</v>
      </c>
      <c r="B58" t="s">
        <v>94</v>
      </c>
      <c r="C58" t="s">
        <v>17</v>
      </c>
      <c r="D58" s="8">
        <v>45404</v>
      </c>
      <c r="E58" t="s">
        <v>38</v>
      </c>
      <c r="F58" s="10">
        <v>5</v>
      </c>
      <c r="G58" t="s">
        <v>20</v>
      </c>
      <c r="H58" t="s">
        <v>38</v>
      </c>
      <c r="I58" t="s">
        <v>39</v>
      </c>
      <c r="J58" t="s">
        <v>38</v>
      </c>
      <c r="K58" s="10">
        <v>0</v>
      </c>
      <c r="L58" s="10">
        <v>1</v>
      </c>
      <c r="M58" s="10">
        <v>4</v>
      </c>
    </row>
    <row r="59" spans="1:13" x14ac:dyDescent="0.25">
      <c r="A59">
        <v>3288</v>
      </c>
      <c r="B59" t="s">
        <v>95</v>
      </c>
      <c r="C59" t="s">
        <v>19</v>
      </c>
      <c r="D59" s="8">
        <v>45405</v>
      </c>
      <c r="E59" t="s">
        <v>36</v>
      </c>
      <c r="F59" s="10">
        <v>15</v>
      </c>
      <c r="G59" t="s">
        <v>22</v>
      </c>
      <c r="H59" t="s">
        <v>36</v>
      </c>
      <c r="I59" s="10">
        <v>30</v>
      </c>
      <c r="J59" t="s">
        <v>36</v>
      </c>
      <c r="K59" s="10">
        <v>20</v>
      </c>
      <c r="L59" s="10">
        <v>3</v>
      </c>
      <c r="M59" s="10">
        <v>62</v>
      </c>
    </row>
    <row r="60" spans="1:13" x14ac:dyDescent="0.25">
      <c r="A60">
        <v>3289</v>
      </c>
      <c r="B60" t="s">
        <v>96</v>
      </c>
      <c r="C60" t="s">
        <v>18</v>
      </c>
      <c r="D60" s="8">
        <v>45406</v>
      </c>
      <c r="E60" t="s">
        <v>38</v>
      </c>
      <c r="F60" s="10">
        <v>10</v>
      </c>
      <c r="G60" t="s">
        <v>20</v>
      </c>
      <c r="H60" t="s">
        <v>38</v>
      </c>
      <c r="I60" t="s">
        <v>39</v>
      </c>
      <c r="J60" t="s">
        <v>36</v>
      </c>
      <c r="K60" s="10">
        <v>20</v>
      </c>
      <c r="L60" s="10">
        <v>10</v>
      </c>
      <c r="M60" s="10">
        <v>20</v>
      </c>
    </row>
    <row r="61" spans="1:13" x14ac:dyDescent="0.25">
      <c r="A61">
        <v>3290</v>
      </c>
      <c r="B61" t="s">
        <v>97</v>
      </c>
      <c r="C61" t="s">
        <v>17</v>
      </c>
      <c r="D61" s="8">
        <v>45407</v>
      </c>
      <c r="E61" t="s">
        <v>36</v>
      </c>
      <c r="F61" s="10">
        <v>5</v>
      </c>
      <c r="G61" t="s">
        <v>21</v>
      </c>
      <c r="H61" t="s">
        <v>38</v>
      </c>
      <c r="I61" t="s">
        <v>39</v>
      </c>
      <c r="J61" t="s">
        <v>38</v>
      </c>
      <c r="K61" s="10">
        <v>0</v>
      </c>
      <c r="L61" s="10">
        <v>0</v>
      </c>
      <c r="M61" s="10">
        <v>5</v>
      </c>
    </row>
    <row r="62" spans="1:13" x14ac:dyDescent="0.25">
      <c r="A62">
        <v>3291</v>
      </c>
      <c r="B62" t="s">
        <v>98</v>
      </c>
      <c r="C62" t="s">
        <v>19</v>
      </c>
      <c r="D62" s="8">
        <v>45408</v>
      </c>
      <c r="E62" t="s">
        <v>38</v>
      </c>
      <c r="F62" s="10">
        <v>15</v>
      </c>
      <c r="G62" t="s">
        <v>20</v>
      </c>
      <c r="H62" t="s">
        <v>36</v>
      </c>
      <c r="I62" s="10">
        <v>30</v>
      </c>
      <c r="J62" t="s">
        <v>36</v>
      </c>
      <c r="K62" s="10">
        <v>20</v>
      </c>
      <c r="L62" s="10">
        <v>5</v>
      </c>
      <c r="M62" s="10">
        <v>60</v>
      </c>
    </row>
    <row r="63" spans="1:13" x14ac:dyDescent="0.25">
      <c r="A63">
        <v>3292</v>
      </c>
      <c r="B63" t="s">
        <v>99</v>
      </c>
      <c r="C63" t="s">
        <v>18</v>
      </c>
      <c r="D63" s="8">
        <v>45409</v>
      </c>
      <c r="E63" t="s">
        <v>36</v>
      </c>
      <c r="F63" s="10">
        <v>10</v>
      </c>
      <c r="G63" t="s">
        <v>22</v>
      </c>
      <c r="H63" t="s">
        <v>38</v>
      </c>
      <c r="I63" t="s">
        <v>39</v>
      </c>
      <c r="J63" t="s">
        <v>36</v>
      </c>
      <c r="K63" s="10">
        <v>20</v>
      </c>
      <c r="L63" s="10">
        <v>15</v>
      </c>
      <c r="M63" s="10">
        <v>15</v>
      </c>
    </row>
    <row r="64" spans="1:13" x14ac:dyDescent="0.25">
      <c r="A64">
        <v>3293</v>
      </c>
      <c r="B64" t="s">
        <v>100</v>
      </c>
      <c r="C64" t="s">
        <v>17</v>
      </c>
      <c r="D64" s="8">
        <v>45410</v>
      </c>
      <c r="E64" t="s">
        <v>38</v>
      </c>
      <c r="F64" s="10">
        <v>5</v>
      </c>
      <c r="G64" t="s">
        <v>20</v>
      </c>
      <c r="H64" t="s">
        <v>38</v>
      </c>
      <c r="I64" t="s">
        <v>39</v>
      </c>
      <c r="J64" t="s">
        <v>38</v>
      </c>
      <c r="K64" s="10">
        <v>0</v>
      </c>
      <c r="L64" s="10">
        <v>1</v>
      </c>
      <c r="M64" s="10">
        <v>4</v>
      </c>
    </row>
    <row r="65" spans="1:13" x14ac:dyDescent="0.25">
      <c r="A65">
        <v>3294</v>
      </c>
      <c r="B65" t="s">
        <v>101</v>
      </c>
      <c r="C65" t="s">
        <v>19</v>
      </c>
      <c r="D65" s="8">
        <v>45411</v>
      </c>
      <c r="E65" t="s">
        <v>36</v>
      </c>
      <c r="F65" s="10">
        <v>15</v>
      </c>
      <c r="G65" t="s">
        <v>21</v>
      </c>
      <c r="H65" t="s">
        <v>36</v>
      </c>
      <c r="I65" s="10">
        <v>30</v>
      </c>
      <c r="J65" t="s">
        <v>36</v>
      </c>
      <c r="K65" s="10">
        <v>20</v>
      </c>
      <c r="L65" s="10">
        <v>20</v>
      </c>
      <c r="M65" s="10">
        <v>45</v>
      </c>
    </row>
    <row r="66" spans="1:13" x14ac:dyDescent="0.25">
      <c r="A66">
        <v>3295</v>
      </c>
      <c r="B66" t="s">
        <v>102</v>
      </c>
      <c r="C66" t="s">
        <v>18</v>
      </c>
      <c r="D66" s="8">
        <v>45412</v>
      </c>
      <c r="E66" t="s">
        <v>38</v>
      </c>
      <c r="F66" s="10">
        <v>10</v>
      </c>
      <c r="G66" t="s">
        <v>20</v>
      </c>
      <c r="H66" t="s">
        <v>38</v>
      </c>
      <c r="I66" t="s">
        <v>39</v>
      </c>
      <c r="J66" t="s">
        <v>36</v>
      </c>
      <c r="K66" s="10">
        <v>20</v>
      </c>
      <c r="L66" s="10">
        <v>5</v>
      </c>
      <c r="M66" s="10">
        <v>25</v>
      </c>
    </row>
    <row r="67" spans="1:13" x14ac:dyDescent="0.25">
      <c r="A67">
        <v>3296</v>
      </c>
      <c r="B67" t="s">
        <v>103</v>
      </c>
      <c r="C67" t="s">
        <v>17</v>
      </c>
      <c r="D67" s="8">
        <v>45413</v>
      </c>
      <c r="E67" t="s">
        <v>38</v>
      </c>
      <c r="F67" s="10">
        <v>5</v>
      </c>
      <c r="G67" t="s">
        <v>20</v>
      </c>
      <c r="H67" t="s">
        <v>38</v>
      </c>
      <c r="I67" t="s">
        <v>39</v>
      </c>
      <c r="J67" t="s">
        <v>38</v>
      </c>
      <c r="K67" s="10">
        <v>0</v>
      </c>
      <c r="L67" s="10">
        <v>0</v>
      </c>
      <c r="M67" s="10">
        <v>5</v>
      </c>
    </row>
    <row r="68" spans="1:13" x14ac:dyDescent="0.25">
      <c r="A68">
        <v>3297</v>
      </c>
      <c r="B68" t="s">
        <v>104</v>
      </c>
      <c r="C68" t="s">
        <v>19</v>
      </c>
      <c r="D68" s="8">
        <v>45414</v>
      </c>
      <c r="E68" t="s">
        <v>36</v>
      </c>
      <c r="F68" s="10">
        <v>15</v>
      </c>
      <c r="G68" t="s">
        <v>21</v>
      </c>
      <c r="H68" t="s">
        <v>36</v>
      </c>
      <c r="I68" s="10">
        <v>30</v>
      </c>
      <c r="J68" t="s">
        <v>36</v>
      </c>
      <c r="K68" s="10">
        <v>20</v>
      </c>
      <c r="L68" s="10">
        <v>7</v>
      </c>
      <c r="M68" s="10">
        <v>58</v>
      </c>
    </row>
    <row r="69" spans="1:13" x14ac:dyDescent="0.25">
      <c r="A69">
        <v>3298</v>
      </c>
      <c r="B69" t="s">
        <v>105</v>
      </c>
      <c r="C69" t="s">
        <v>18</v>
      </c>
      <c r="D69" s="8">
        <v>45415</v>
      </c>
      <c r="E69" t="s">
        <v>38</v>
      </c>
      <c r="F69" s="10">
        <v>10</v>
      </c>
      <c r="G69" t="s">
        <v>22</v>
      </c>
      <c r="H69" t="s">
        <v>38</v>
      </c>
      <c r="I69" t="s">
        <v>39</v>
      </c>
      <c r="J69" t="s">
        <v>36</v>
      </c>
      <c r="K69" s="10">
        <v>20</v>
      </c>
      <c r="L69" s="10">
        <v>10</v>
      </c>
      <c r="M69" s="10">
        <v>20</v>
      </c>
    </row>
    <row r="70" spans="1:13" x14ac:dyDescent="0.25">
      <c r="A70">
        <v>3299</v>
      </c>
      <c r="B70" t="s">
        <v>106</v>
      </c>
      <c r="C70" t="s">
        <v>17</v>
      </c>
      <c r="D70" s="8">
        <v>45416</v>
      </c>
      <c r="E70" t="s">
        <v>36</v>
      </c>
      <c r="F70" s="10">
        <v>5</v>
      </c>
      <c r="G70" t="s">
        <v>21</v>
      </c>
      <c r="H70" t="s">
        <v>38</v>
      </c>
      <c r="I70" t="s">
        <v>39</v>
      </c>
      <c r="J70" t="s">
        <v>38</v>
      </c>
      <c r="K70" s="10">
        <v>0</v>
      </c>
      <c r="L70" s="10">
        <v>1</v>
      </c>
      <c r="M70" s="10">
        <v>4</v>
      </c>
    </row>
    <row r="71" spans="1:13" x14ac:dyDescent="0.25">
      <c r="A71">
        <v>3300</v>
      </c>
      <c r="B71" t="s">
        <v>107</v>
      </c>
      <c r="C71" t="s">
        <v>19</v>
      </c>
      <c r="D71" s="8">
        <v>45417</v>
      </c>
      <c r="E71" t="s">
        <v>38</v>
      </c>
      <c r="F71" s="10">
        <v>15</v>
      </c>
      <c r="G71" t="s">
        <v>20</v>
      </c>
      <c r="H71" t="s">
        <v>36</v>
      </c>
      <c r="I71" s="10">
        <v>30</v>
      </c>
      <c r="J71" t="s">
        <v>36</v>
      </c>
      <c r="K71" s="10">
        <v>20</v>
      </c>
      <c r="L71" s="10">
        <v>15</v>
      </c>
      <c r="M71" s="10">
        <v>50</v>
      </c>
    </row>
    <row r="72" spans="1:13" x14ac:dyDescent="0.25">
      <c r="A72">
        <v>3301</v>
      </c>
      <c r="B72" t="s">
        <v>108</v>
      </c>
      <c r="C72" t="s">
        <v>18</v>
      </c>
      <c r="D72" s="8">
        <v>45418</v>
      </c>
      <c r="E72" t="s">
        <v>36</v>
      </c>
      <c r="F72" s="10">
        <v>10</v>
      </c>
      <c r="G72" t="s">
        <v>20</v>
      </c>
      <c r="H72" t="s">
        <v>38</v>
      </c>
      <c r="I72" t="s">
        <v>39</v>
      </c>
      <c r="J72" t="s">
        <v>36</v>
      </c>
      <c r="K72" s="10">
        <v>20</v>
      </c>
      <c r="L72" s="10">
        <v>5</v>
      </c>
      <c r="M72" s="10">
        <v>25</v>
      </c>
    </row>
    <row r="73" spans="1:13" x14ac:dyDescent="0.25">
      <c r="A73">
        <v>3302</v>
      </c>
      <c r="B73" t="s">
        <v>109</v>
      </c>
      <c r="C73" t="s">
        <v>17</v>
      </c>
      <c r="D73" s="8">
        <v>45419</v>
      </c>
      <c r="E73" t="s">
        <v>38</v>
      </c>
      <c r="F73" s="10">
        <v>5</v>
      </c>
      <c r="G73" t="s">
        <v>22</v>
      </c>
      <c r="H73" t="s">
        <v>38</v>
      </c>
      <c r="I73" t="s">
        <v>39</v>
      </c>
      <c r="J73" t="s">
        <v>38</v>
      </c>
      <c r="K73" s="10">
        <v>0</v>
      </c>
      <c r="L73" s="10">
        <v>0</v>
      </c>
      <c r="M73" s="10">
        <v>5</v>
      </c>
    </row>
    <row r="74" spans="1:13" x14ac:dyDescent="0.25">
      <c r="A74">
        <v>3303</v>
      </c>
      <c r="B74" t="s">
        <v>110</v>
      </c>
      <c r="C74" t="s">
        <v>19</v>
      </c>
      <c r="D74" s="8">
        <v>45420</v>
      </c>
      <c r="E74" t="s">
        <v>36</v>
      </c>
      <c r="F74" s="10">
        <v>15</v>
      </c>
      <c r="G74" t="s">
        <v>21</v>
      </c>
      <c r="H74" t="s">
        <v>36</v>
      </c>
      <c r="I74" s="10">
        <v>30</v>
      </c>
      <c r="J74" t="s">
        <v>36</v>
      </c>
      <c r="K74" s="10">
        <v>20</v>
      </c>
      <c r="L74" s="10">
        <v>20</v>
      </c>
      <c r="M74" s="10">
        <v>45</v>
      </c>
    </row>
    <row r="75" spans="1:13" x14ac:dyDescent="0.25">
      <c r="A75">
        <v>3304</v>
      </c>
      <c r="B75" t="s">
        <v>111</v>
      </c>
      <c r="C75" t="s">
        <v>18</v>
      </c>
      <c r="D75" s="8">
        <v>45421</v>
      </c>
      <c r="E75" t="s">
        <v>38</v>
      </c>
      <c r="F75" s="10">
        <v>10</v>
      </c>
      <c r="G75" t="s">
        <v>21</v>
      </c>
      <c r="H75" t="s">
        <v>38</v>
      </c>
      <c r="I75" t="s">
        <v>39</v>
      </c>
      <c r="J75" t="s">
        <v>36</v>
      </c>
      <c r="K75" s="10">
        <v>20</v>
      </c>
      <c r="L75" s="10">
        <v>12</v>
      </c>
      <c r="M75" s="10">
        <v>18</v>
      </c>
    </row>
    <row r="76" spans="1:13" x14ac:dyDescent="0.25">
      <c r="A76">
        <v>3305</v>
      </c>
      <c r="B76" t="s">
        <v>112</v>
      </c>
      <c r="C76" t="s">
        <v>17</v>
      </c>
      <c r="D76" s="8">
        <v>45422</v>
      </c>
      <c r="E76" t="s">
        <v>36</v>
      </c>
      <c r="F76" s="10">
        <v>5</v>
      </c>
      <c r="G76" t="s">
        <v>20</v>
      </c>
      <c r="H76" t="s">
        <v>38</v>
      </c>
      <c r="I76" t="s">
        <v>39</v>
      </c>
      <c r="J76" t="s">
        <v>38</v>
      </c>
      <c r="K76" s="10">
        <v>0</v>
      </c>
      <c r="L76" s="10">
        <v>2</v>
      </c>
      <c r="M76" s="10">
        <v>3</v>
      </c>
    </row>
    <row r="77" spans="1:13" x14ac:dyDescent="0.25">
      <c r="A77">
        <v>3306</v>
      </c>
      <c r="B77" t="s">
        <v>113</v>
      </c>
      <c r="C77" t="s">
        <v>19</v>
      </c>
      <c r="D77" s="8">
        <v>45423</v>
      </c>
      <c r="E77" t="s">
        <v>38</v>
      </c>
      <c r="F77" s="10">
        <v>15</v>
      </c>
      <c r="G77" t="s">
        <v>22</v>
      </c>
      <c r="H77" t="s">
        <v>36</v>
      </c>
      <c r="I77" s="10">
        <v>30</v>
      </c>
      <c r="J77" t="s">
        <v>36</v>
      </c>
      <c r="K77" s="10">
        <v>20</v>
      </c>
      <c r="L77" s="10">
        <v>5</v>
      </c>
      <c r="M77" s="10">
        <v>60</v>
      </c>
    </row>
    <row r="78" spans="1:13" x14ac:dyDescent="0.25">
      <c r="A78">
        <v>3307</v>
      </c>
      <c r="B78" t="s">
        <v>114</v>
      </c>
      <c r="C78" t="s">
        <v>18</v>
      </c>
      <c r="D78" s="8">
        <v>45424</v>
      </c>
      <c r="E78" t="s">
        <v>36</v>
      </c>
      <c r="F78" s="10">
        <v>10</v>
      </c>
      <c r="G78" t="s">
        <v>20</v>
      </c>
      <c r="H78" t="s">
        <v>38</v>
      </c>
      <c r="I78" t="s">
        <v>39</v>
      </c>
      <c r="J78" t="s">
        <v>36</v>
      </c>
      <c r="K78" s="10">
        <v>20</v>
      </c>
      <c r="L78" s="10">
        <v>10</v>
      </c>
      <c r="M78" s="10">
        <v>20</v>
      </c>
    </row>
    <row r="79" spans="1:13" x14ac:dyDescent="0.25">
      <c r="A79">
        <v>3308</v>
      </c>
      <c r="B79" t="s">
        <v>115</v>
      </c>
      <c r="C79" t="s">
        <v>17</v>
      </c>
      <c r="D79" s="8">
        <v>45425</v>
      </c>
      <c r="E79" t="s">
        <v>38</v>
      </c>
      <c r="F79" s="10">
        <v>5</v>
      </c>
      <c r="G79" t="s">
        <v>21</v>
      </c>
      <c r="H79" t="s">
        <v>38</v>
      </c>
      <c r="I79" t="s">
        <v>39</v>
      </c>
      <c r="J79" t="s">
        <v>38</v>
      </c>
      <c r="K79" s="10">
        <v>0</v>
      </c>
      <c r="L79" s="10">
        <v>0</v>
      </c>
      <c r="M79" s="10">
        <v>5</v>
      </c>
    </row>
    <row r="80" spans="1:13" x14ac:dyDescent="0.25">
      <c r="A80">
        <v>3309</v>
      </c>
      <c r="B80" t="s">
        <v>116</v>
      </c>
      <c r="C80" t="s">
        <v>19</v>
      </c>
      <c r="D80" s="8">
        <v>45426</v>
      </c>
      <c r="E80" t="s">
        <v>36</v>
      </c>
      <c r="F80" s="10">
        <v>15</v>
      </c>
      <c r="G80" t="s">
        <v>20</v>
      </c>
      <c r="H80" t="s">
        <v>36</v>
      </c>
      <c r="I80" s="10">
        <v>30</v>
      </c>
      <c r="J80" t="s">
        <v>36</v>
      </c>
      <c r="K80" s="10">
        <v>20</v>
      </c>
      <c r="L80" s="10">
        <v>3</v>
      </c>
      <c r="M80" s="10">
        <v>62</v>
      </c>
    </row>
    <row r="81" spans="1:13" x14ac:dyDescent="0.25">
      <c r="A81">
        <v>3310</v>
      </c>
      <c r="B81" t="s">
        <v>117</v>
      </c>
      <c r="C81" t="s">
        <v>18</v>
      </c>
      <c r="D81" s="8">
        <v>45427</v>
      </c>
      <c r="E81" t="s">
        <v>38</v>
      </c>
      <c r="F81" s="10">
        <v>10</v>
      </c>
      <c r="G81" t="s">
        <v>22</v>
      </c>
      <c r="H81" t="s">
        <v>38</v>
      </c>
      <c r="I81" t="s">
        <v>39</v>
      </c>
      <c r="J81" t="s">
        <v>36</v>
      </c>
      <c r="K81" s="10">
        <v>20</v>
      </c>
      <c r="L81" s="10">
        <v>15</v>
      </c>
      <c r="M81" s="10">
        <v>15</v>
      </c>
    </row>
    <row r="82" spans="1:13" x14ac:dyDescent="0.25">
      <c r="A82">
        <v>3311</v>
      </c>
      <c r="B82" t="s">
        <v>118</v>
      </c>
      <c r="C82" t="s">
        <v>17</v>
      </c>
      <c r="D82" s="8">
        <v>45428</v>
      </c>
      <c r="E82" t="s">
        <v>36</v>
      </c>
      <c r="F82" s="10">
        <v>5</v>
      </c>
      <c r="G82" t="s">
        <v>20</v>
      </c>
      <c r="H82" t="s">
        <v>38</v>
      </c>
      <c r="I82" t="s">
        <v>39</v>
      </c>
      <c r="J82" t="s">
        <v>38</v>
      </c>
      <c r="K82" s="10">
        <v>0</v>
      </c>
      <c r="L82" s="10">
        <v>1</v>
      </c>
      <c r="M82" s="10">
        <v>4</v>
      </c>
    </row>
    <row r="83" spans="1:13" x14ac:dyDescent="0.25">
      <c r="A83">
        <v>3312</v>
      </c>
      <c r="B83" t="s">
        <v>119</v>
      </c>
      <c r="C83" t="s">
        <v>19</v>
      </c>
      <c r="D83" s="8">
        <v>45429</v>
      </c>
      <c r="E83" t="s">
        <v>38</v>
      </c>
      <c r="F83" s="10">
        <v>15</v>
      </c>
      <c r="G83" t="s">
        <v>21</v>
      </c>
      <c r="H83" t="s">
        <v>36</v>
      </c>
      <c r="I83" s="10">
        <v>30</v>
      </c>
      <c r="J83" t="s">
        <v>36</v>
      </c>
      <c r="K83" s="10">
        <v>20</v>
      </c>
      <c r="L83" s="10">
        <v>7</v>
      </c>
      <c r="M83" s="10">
        <v>58</v>
      </c>
    </row>
    <row r="84" spans="1:13" x14ac:dyDescent="0.25">
      <c r="A84">
        <v>3313</v>
      </c>
      <c r="B84" t="s">
        <v>120</v>
      </c>
      <c r="C84" t="s">
        <v>18</v>
      </c>
      <c r="D84" s="8">
        <v>45430</v>
      </c>
      <c r="E84" t="s">
        <v>36</v>
      </c>
      <c r="F84" s="10">
        <v>10</v>
      </c>
      <c r="G84" t="s">
        <v>20</v>
      </c>
      <c r="H84" t="s">
        <v>38</v>
      </c>
      <c r="I84" t="s">
        <v>39</v>
      </c>
      <c r="J84" t="s">
        <v>36</v>
      </c>
      <c r="K84" s="10">
        <v>20</v>
      </c>
      <c r="L84" s="10">
        <v>10</v>
      </c>
      <c r="M84" s="10">
        <v>20</v>
      </c>
    </row>
    <row r="85" spans="1:13" x14ac:dyDescent="0.25">
      <c r="A85">
        <v>3314</v>
      </c>
      <c r="B85" t="s">
        <v>121</v>
      </c>
      <c r="C85" t="s">
        <v>17</v>
      </c>
      <c r="D85" s="8">
        <v>45431</v>
      </c>
      <c r="E85" t="s">
        <v>38</v>
      </c>
      <c r="F85" s="10">
        <v>5</v>
      </c>
      <c r="G85" t="s">
        <v>22</v>
      </c>
      <c r="H85" t="s">
        <v>38</v>
      </c>
      <c r="I85" t="s">
        <v>39</v>
      </c>
      <c r="J85" t="s">
        <v>38</v>
      </c>
      <c r="K85" s="10">
        <v>0</v>
      </c>
      <c r="L85" s="10">
        <v>0</v>
      </c>
      <c r="M85" s="10">
        <v>5</v>
      </c>
    </row>
    <row r="86" spans="1:13" x14ac:dyDescent="0.25">
      <c r="A86">
        <v>3315</v>
      </c>
      <c r="B86" t="s">
        <v>122</v>
      </c>
      <c r="C86" t="s">
        <v>19</v>
      </c>
      <c r="D86" s="8">
        <v>45432</v>
      </c>
      <c r="E86" t="s">
        <v>36</v>
      </c>
      <c r="F86" s="10">
        <v>15</v>
      </c>
      <c r="G86" t="s">
        <v>20</v>
      </c>
      <c r="H86" t="s">
        <v>36</v>
      </c>
      <c r="I86" s="10">
        <v>30</v>
      </c>
      <c r="J86" t="s">
        <v>36</v>
      </c>
      <c r="K86" s="10">
        <v>20</v>
      </c>
      <c r="L86" s="10">
        <v>20</v>
      </c>
      <c r="M86" s="10">
        <v>45</v>
      </c>
    </row>
    <row r="87" spans="1:13" x14ac:dyDescent="0.25">
      <c r="A87">
        <v>3316</v>
      </c>
      <c r="B87" t="s">
        <v>123</v>
      </c>
      <c r="C87" t="s">
        <v>18</v>
      </c>
      <c r="D87" s="8">
        <v>45433</v>
      </c>
      <c r="E87" t="s">
        <v>38</v>
      </c>
      <c r="F87" s="10">
        <v>10</v>
      </c>
      <c r="G87" t="s">
        <v>21</v>
      </c>
      <c r="H87" t="s">
        <v>38</v>
      </c>
      <c r="I87" t="s">
        <v>39</v>
      </c>
      <c r="J87" t="s">
        <v>36</v>
      </c>
      <c r="K87" s="10">
        <v>20</v>
      </c>
      <c r="L87" s="10">
        <v>15</v>
      </c>
      <c r="M87" s="10">
        <v>15</v>
      </c>
    </row>
    <row r="88" spans="1:13" x14ac:dyDescent="0.25">
      <c r="A88">
        <v>3317</v>
      </c>
      <c r="B88" t="s">
        <v>124</v>
      </c>
      <c r="C88" t="s">
        <v>17</v>
      </c>
      <c r="D88" s="8">
        <v>45434</v>
      </c>
      <c r="E88" t="s">
        <v>36</v>
      </c>
      <c r="F88" s="10">
        <v>5</v>
      </c>
      <c r="G88" t="s">
        <v>20</v>
      </c>
      <c r="H88" t="s">
        <v>38</v>
      </c>
      <c r="I88" t="s">
        <v>39</v>
      </c>
      <c r="J88" t="s">
        <v>38</v>
      </c>
      <c r="K88" s="10">
        <v>0</v>
      </c>
      <c r="L88" s="10">
        <v>1</v>
      </c>
      <c r="M88" s="10">
        <v>4</v>
      </c>
    </row>
    <row r="89" spans="1:13" x14ac:dyDescent="0.25">
      <c r="A89">
        <v>3318</v>
      </c>
      <c r="B89" t="s">
        <v>125</v>
      </c>
      <c r="C89" t="s">
        <v>19</v>
      </c>
      <c r="D89" s="8">
        <v>45435</v>
      </c>
      <c r="E89" t="s">
        <v>38</v>
      </c>
      <c r="F89" s="10">
        <v>15</v>
      </c>
      <c r="G89" t="s">
        <v>22</v>
      </c>
      <c r="H89" t="s">
        <v>36</v>
      </c>
      <c r="I89" s="10">
        <v>30</v>
      </c>
      <c r="J89" t="s">
        <v>36</v>
      </c>
      <c r="K89" s="10">
        <v>20</v>
      </c>
      <c r="L89" s="10">
        <v>3</v>
      </c>
      <c r="M89" s="10">
        <v>62</v>
      </c>
    </row>
    <row r="90" spans="1:13" x14ac:dyDescent="0.25">
      <c r="A90">
        <v>3319</v>
      </c>
      <c r="B90" t="s">
        <v>126</v>
      </c>
      <c r="C90" t="s">
        <v>18</v>
      </c>
      <c r="D90" s="8">
        <v>45436</v>
      </c>
      <c r="E90" t="s">
        <v>36</v>
      </c>
      <c r="F90" s="10">
        <v>10</v>
      </c>
      <c r="G90" t="s">
        <v>20</v>
      </c>
      <c r="H90" t="s">
        <v>38</v>
      </c>
      <c r="I90" t="s">
        <v>39</v>
      </c>
      <c r="J90" t="s">
        <v>36</v>
      </c>
      <c r="K90" s="10">
        <v>20</v>
      </c>
      <c r="L90" s="10">
        <v>10</v>
      </c>
      <c r="M90" s="10">
        <v>20</v>
      </c>
    </row>
    <row r="91" spans="1:13" x14ac:dyDescent="0.25">
      <c r="A91">
        <v>3320</v>
      </c>
      <c r="B91" t="s">
        <v>127</v>
      </c>
      <c r="C91" t="s">
        <v>17</v>
      </c>
      <c r="D91" s="8">
        <v>45437</v>
      </c>
      <c r="E91" t="s">
        <v>38</v>
      </c>
      <c r="F91" s="10">
        <v>5</v>
      </c>
      <c r="G91" t="s">
        <v>21</v>
      </c>
      <c r="H91" t="s">
        <v>38</v>
      </c>
      <c r="I91" t="s">
        <v>39</v>
      </c>
      <c r="J91" t="s">
        <v>38</v>
      </c>
      <c r="K91" s="10">
        <v>0</v>
      </c>
      <c r="L91" s="10">
        <v>0</v>
      </c>
      <c r="M91" s="10">
        <v>5</v>
      </c>
    </row>
    <row r="92" spans="1:13" x14ac:dyDescent="0.25">
      <c r="A92">
        <v>3321</v>
      </c>
      <c r="B92" t="s">
        <v>128</v>
      </c>
      <c r="C92" t="s">
        <v>19</v>
      </c>
      <c r="D92" s="8">
        <v>45438</v>
      </c>
      <c r="E92" t="s">
        <v>36</v>
      </c>
      <c r="F92" s="10">
        <v>15</v>
      </c>
      <c r="G92" t="s">
        <v>20</v>
      </c>
      <c r="H92" t="s">
        <v>36</v>
      </c>
      <c r="I92" s="10">
        <v>30</v>
      </c>
      <c r="J92" t="s">
        <v>36</v>
      </c>
      <c r="K92" s="10">
        <v>20</v>
      </c>
      <c r="L92" s="10">
        <v>5</v>
      </c>
      <c r="M92" s="10">
        <v>60</v>
      </c>
    </row>
    <row r="93" spans="1:13" x14ac:dyDescent="0.25">
      <c r="A93">
        <v>3322</v>
      </c>
      <c r="B93" t="s">
        <v>129</v>
      </c>
      <c r="C93" t="s">
        <v>18</v>
      </c>
      <c r="D93" s="8">
        <v>45439</v>
      </c>
      <c r="E93" t="s">
        <v>38</v>
      </c>
      <c r="F93" s="10">
        <v>10</v>
      </c>
      <c r="G93" t="s">
        <v>22</v>
      </c>
      <c r="H93" t="s">
        <v>38</v>
      </c>
      <c r="I93" t="s">
        <v>39</v>
      </c>
      <c r="J93" t="s">
        <v>36</v>
      </c>
      <c r="K93" s="10">
        <v>20</v>
      </c>
      <c r="L93" s="10">
        <v>15</v>
      </c>
      <c r="M93" s="10">
        <v>15</v>
      </c>
    </row>
    <row r="94" spans="1:13" x14ac:dyDescent="0.25">
      <c r="A94">
        <v>3323</v>
      </c>
      <c r="B94" t="s">
        <v>130</v>
      </c>
      <c r="C94" t="s">
        <v>17</v>
      </c>
      <c r="D94" s="8">
        <v>45440</v>
      </c>
      <c r="E94" t="s">
        <v>36</v>
      </c>
      <c r="F94" s="10">
        <v>5</v>
      </c>
      <c r="G94" t="s">
        <v>20</v>
      </c>
      <c r="H94" t="s">
        <v>38</v>
      </c>
      <c r="I94" t="s">
        <v>39</v>
      </c>
      <c r="J94" t="s">
        <v>38</v>
      </c>
      <c r="K94" s="10">
        <v>0</v>
      </c>
      <c r="L94" s="10">
        <v>1</v>
      </c>
      <c r="M94" s="10">
        <v>4</v>
      </c>
    </row>
    <row r="95" spans="1:13" x14ac:dyDescent="0.25">
      <c r="A95">
        <v>3324</v>
      </c>
      <c r="B95" t="s">
        <v>131</v>
      </c>
      <c r="C95" t="s">
        <v>19</v>
      </c>
      <c r="D95" s="8">
        <v>45441</v>
      </c>
      <c r="E95" t="s">
        <v>38</v>
      </c>
      <c r="F95" s="10">
        <v>15</v>
      </c>
      <c r="G95" t="s">
        <v>21</v>
      </c>
      <c r="H95" t="s">
        <v>36</v>
      </c>
      <c r="I95" s="10">
        <v>30</v>
      </c>
      <c r="J95" t="s">
        <v>36</v>
      </c>
      <c r="K95" s="10">
        <v>20</v>
      </c>
      <c r="L95" s="10">
        <v>20</v>
      </c>
      <c r="M95" s="10">
        <v>45</v>
      </c>
    </row>
    <row r="96" spans="1:13" x14ac:dyDescent="0.25">
      <c r="A96">
        <v>3325</v>
      </c>
      <c r="B96" t="s">
        <v>132</v>
      </c>
      <c r="C96" t="s">
        <v>18</v>
      </c>
      <c r="D96" s="8">
        <v>45442</v>
      </c>
      <c r="E96" t="s">
        <v>36</v>
      </c>
      <c r="F96" s="10">
        <v>10</v>
      </c>
      <c r="G96" t="s">
        <v>21</v>
      </c>
      <c r="H96" t="s">
        <v>38</v>
      </c>
      <c r="I96" t="s">
        <v>39</v>
      </c>
      <c r="J96" t="s">
        <v>36</v>
      </c>
      <c r="K96" s="10">
        <v>20</v>
      </c>
      <c r="L96" s="10">
        <v>15</v>
      </c>
      <c r="M96" s="10">
        <v>15</v>
      </c>
    </row>
    <row r="97" spans="1:13" x14ac:dyDescent="0.25">
      <c r="A97">
        <v>3326</v>
      </c>
      <c r="B97" t="s">
        <v>133</v>
      </c>
      <c r="C97" t="s">
        <v>17</v>
      </c>
      <c r="D97" s="8">
        <v>45443</v>
      </c>
      <c r="E97" t="s">
        <v>38</v>
      </c>
      <c r="F97" s="10">
        <v>5</v>
      </c>
      <c r="G97" t="s">
        <v>22</v>
      </c>
      <c r="H97" t="s">
        <v>38</v>
      </c>
      <c r="I97" t="s">
        <v>39</v>
      </c>
      <c r="J97" t="s">
        <v>38</v>
      </c>
      <c r="K97" s="10">
        <v>0</v>
      </c>
      <c r="L97" s="10">
        <v>0</v>
      </c>
      <c r="M97" s="10">
        <v>5</v>
      </c>
    </row>
    <row r="98" spans="1:13" x14ac:dyDescent="0.25">
      <c r="A98">
        <v>3327</v>
      </c>
      <c r="B98" t="s">
        <v>134</v>
      </c>
      <c r="C98" t="s">
        <v>19</v>
      </c>
      <c r="D98" s="8">
        <v>45444</v>
      </c>
      <c r="E98" t="s">
        <v>36</v>
      </c>
      <c r="F98" s="10">
        <v>15</v>
      </c>
      <c r="G98" t="s">
        <v>20</v>
      </c>
      <c r="H98" t="s">
        <v>36</v>
      </c>
      <c r="I98" s="10">
        <v>30</v>
      </c>
      <c r="J98" t="s">
        <v>36</v>
      </c>
      <c r="K98" s="10">
        <v>20</v>
      </c>
      <c r="L98" s="10">
        <v>7</v>
      </c>
      <c r="M98" s="10">
        <v>58</v>
      </c>
    </row>
    <row r="99" spans="1:13" x14ac:dyDescent="0.25">
      <c r="A99">
        <v>3328</v>
      </c>
      <c r="B99" t="s">
        <v>135</v>
      </c>
      <c r="C99" t="s">
        <v>18</v>
      </c>
      <c r="D99" s="8">
        <v>45445</v>
      </c>
      <c r="E99" t="s">
        <v>38</v>
      </c>
      <c r="F99" s="10">
        <v>10</v>
      </c>
      <c r="G99" t="s">
        <v>22</v>
      </c>
      <c r="H99" t="s">
        <v>38</v>
      </c>
      <c r="I99" t="s">
        <v>39</v>
      </c>
      <c r="J99" t="s">
        <v>36</v>
      </c>
      <c r="K99" s="10">
        <v>20</v>
      </c>
      <c r="L99" s="10">
        <v>10</v>
      </c>
      <c r="M99" s="10">
        <v>20</v>
      </c>
    </row>
    <row r="100" spans="1:13" x14ac:dyDescent="0.25">
      <c r="A100">
        <v>3329</v>
      </c>
      <c r="B100" t="s">
        <v>136</v>
      </c>
      <c r="C100" t="s">
        <v>17</v>
      </c>
      <c r="D100" s="8">
        <v>45446</v>
      </c>
      <c r="E100" t="s">
        <v>36</v>
      </c>
      <c r="F100" s="10">
        <v>5</v>
      </c>
      <c r="G100" t="s">
        <v>21</v>
      </c>
      <c r="H100" t="s">
        <v>38</v>
      </c>
      <c r="I100" t="s">
        <v>39</v>
      </c>
      <c r="J100" t="s">
        <v>38</v>
      </c>
      <c r="K100" s="10">
        <v>0</v>
      </c>
      <c r="L100" s="10">
        <v>1</v>
      </c>
      <c r="M100" s="10">
        <v>4</v>
      </c>
    </row>
    <row r="101" spans="1:13" x14ac:dyDescent="0.25">
      <c r="A101">
        <v>3330</v>
      </c>
      <c r="B101" t="s">
        <v>137</v>
      </c>
      <c r="C101" t="s">
        <v>19</v>
      </c>
      <c r="D101" s="8">
        <v>45447</v>
      </c>
      <c r="E101" t="s">
        <v>38</v>
      </c>
      <c r="F101" s="10">
        <v>15</v>
      </c>
      <c r="G101" t="s">
        <v>20</v>
      </c>
      <c r="H101" t="s">
        <v>36</v>
      </c>
      <c r="I101" s="10">
        <v>30</v>
      </c>
      <c r="J101" t="s">
        <v>36</v>
      </c>
      <c r="K101" s="10">
        <v>20</v>
      </c>
      <c r="L101" s="10">
        <v>15</v>
      </c>
      <c r="M101" s="10">
        <v>50</v>
      </c>
    </row>
    <row r="102" spans="1:13" x14ac:dyDescent="0.25">
      <c r="A102">
        <v>3331</v>
      </c>
      <c r="B102" t="s">
        <v>138</v>
      </c>
      <c r="C102" t="s">
        <v>18</v>
      </c>
      <c r="D102" s="8">
        <v>45448</v>
      </c>
      <c r="E102" t="s">
        <v>36</v>
      </c>
      <c r="F102" s="10">
        <v>10</v>
      </c>
      <c r="G102" t="s">
        <v>20</v>
      </c>
      <c r="H102" t="s">
        <v>38</v>
      </c>
      <c r="I102" t="s">
        <v>39</v>
      </c>
      <c r="J102" t="s">
        <v>36</v>
      </c>
      <c r="K102" s="10">
        <v>20</v>
      </c>
      <c r="L102" s="10">
        <v>5</v>
      </c>
      <c r="M102" s="10">
        <v>25</v>
      </c>
    </row>
    <row r="103" spans="1:13" x14ac:dyDescent="0.25">
      <c r="A103">
        <v>3332</v>
      </c>
      <c r="B103" t="s">
        <v>139</v>
      </c>
      <c r="C103" t="s">
        <v>17</v>
      </c>
      <c r="D103" s="8">
        <v>45449</v>
      </c>
      <c r="E103" t="s">
        <v>38</v>
      </c>
      <c r="F103" s="10">
        <v>5</v>
      </c>
      <c r="G103" t="s">
        <v>22</v>
      </c>
      <c r="H103" t="s">
        <v>38</v>
      </c>
      <c r="I103" t="s">
        <v>39</v>
      </c>
      <c r="J103" t="s">
        <v>38</v>
      </c>
      <c r="K103" s="10">
        <v>0</v>
      </c>
      <c r="L103" s="10">
        <v>0</v>
      </c>
      <c r="M103" s="10">
        <v>5</v>
      </c>
    </row>
    <row r="104" spans="1:13" x14ac:dyDescent="0.25">
      <c r="A104">
        <v>3333</v>
      </c>
      <c r="B104" t="s">
        <v>140</v>
      </c>
      <c r="C104" t="s">
        <v>19</v>
      </c>
      <c r="D104" s="8">
        <v>45450</v>
      </c>
      <c r="E104" t="s">
        <v>36</v>
      </c>
      <c r="F104" s="10">
        <v>15</v>
      </c>
      <c r="G104" t="s">
        <v>21</v>
      </c>
      <c r="H104" t="s">
        <v>36</v>
      </c>
      <c r="I104" s="10">
        <v>30</v>
      </c>
      <c r="J104" t="s">
        <v>36</v>
      </c>
      <c r="K104" s="10">
        <v>20</v>
      </c>
      <c r="L104" s="10">
        <v>20</v>
      </c>
      <c r="M104" s="10">
        <v>45</v>
      </c>
    </row>
    <row r="105" spans="1:13" x14ac:dyDescent="0.25">
      <c r="A105">
        <v>3334</v>
      </c>
      <c r="B105" t="s">
        <v>141</v>
      </c>
      <c r="C105" t="s">
        <v>18</v>
      </c>
      <c r="D105" s="8">
        <v>45451</v>
      </c>
      <c r="E105" t="s">
        <v>38</v>
      </c>
      <c r="F105" s="10">
        <v>10</v>
      </c>
      <c r="G105" t="s">
        <v>21</v>
      </c>
      <c r="H105" t="s">
        <v>38</v>
      </c>
      <c r="I105" t="s">
        <v>39</v>
      </c>
      <c r="J105" t="s">
        <v>36</v>
      </c>
      <c r="K105" s="10">
        <v>20</v>
      </c>
      <c r="L105" s="10">
        <v>12</v>
      </c>
      <c r="M105" s="10">
        <v>18</v>
      </c>
    </row>
    <row r="106" spans="1:13" x14ac:dyDescent="0.25">
      <c r="A106">
        <v>3335</v>
      </c>
      <c r="B106" t="s">
        <v>142</v>
      </c>
      <c r="C106" t="s">
        <v>17</v>
      </c>
      <c r="D106" s="8">
        <v>45452</v>
      </c>
      <c r="E106" t="s">
        <v>36</v>
      </c>
      <c r="F106" s="10">
        <v>5</v>
      </c>
      <c r="G106" t="s">
        <v>20</v>
      </c>
      <c r="H106" t="s">
        <v>38</v>
      </c>
      <c r="I106" t="s">
        <v>39</v>
      </c>
      <c r="J106" t="s">
        <v>38</v>
      </c>
      <c r="K106" s="10">
        <v>0</v>
      </c>
      <c r="L106" s="10">
        <v>2</v>
      </c>
      <c r="M106" s="10">
        <v>3</v>
      </c>
    </row>
    <row r="107" spans="1:13" x14ac:dyDescent="0.25">
      <c r="A107">
        <v>3336</v>
      </c>
      <c r="B107" t="s">
        <v>143</v>
      </c>
      <c r="C107" t="s">
        <v>17</v>
      </c>
      <c r="D107" s="8">
        <v>45453</v>
      </c>
      <c r="E107" t="s">
        <v>36</v>
      </c>
      <c r="F107" s="10">
        <v>5</v>
      </c>
      <c r="G107" t="s">
        <v>20</v>
      </c>
      <c r="H107" t="s">
        <v>38</v>
      </c>
      <c r="I107" t="s">
        <v>39</v>
      </c>
      <c r="J107" t="s">
        <v>38</v>
      </c>
      <c r="K107" s="10">
        <v>0</v>
      </c>
      <c r="L107" s="10">
        <v>0</v>
      </c>
      <c r="M107" s="10">
        <v>5</v>
      </c>
    </row>
    <row r="108" spans="1:13" x14ac:dyDescent="0.25">
      <c r="A108">
        <v>3337</v>
      </c>
      <c r="B108" t="s">
        <v>144</v>
      </c>
      <c r="C108" t="s">
        <v>19</v>
      </c>
      <c r="D108" s="8">
        <v>45454</v>
      </c>
      <c r="E108" t="s">
        <v>38</v>
      </c>
      <c r="F108" s="10">
        <v>15</v>
      </c>
      <c r="G108" t="s">
        <v>21</v>
      </c>
      <c r="H108" t="s">
        <v>36</v>
      </c>
      <c r="I108" s="10">
        <v>30</v>
      </c>
      <c r="J108" t="s">
        <v>36</v>
      </c>
      <c r="K108" s="10">
        <v>20</v>
      </c>
      <c r="L108" s="10">
        <v>7</v>
      </c>
      <c r="M108" s="10">
        <v>58</v>
      </c>
    </row>
    <row r="109" spans="1:13" x14ac:dyDescent="0.25">
      <c r="A109">
        <v>3338</v>
      </c>
      <c r="B109" t="s">
        <v>145</v>
      </c>
      <c r="C109" t="s">
        <v>18</v>
      </c>
      <c r="D109" s="8">
        <v>45455</v>
      </c>
      <c r="E109" t="s">
        <v>36</v>
      </c>
      <c r="F109" s="10">
        <v>10</v>
      </c>
      <c r="G109" t="s">
        <v>22</v>
      </c>
      <c r="H109" t="s">
        <v>38</v>
      </c>
      <c r="I109" t="s">
        <v>39</v>
      </c>
      <c r="J109" t="s">
        <v>36</v>
      </c>
      <c r="K109" s="10">
        <v>20</v>
      </c>
      <c r="L109" s="10">
        <v>10</v>
      </c>
      <c r="M109" s="10">
        <v>20</v>
      </c>
    </row>
    <row r="110" spans="1:13" x14ac:dyDescent="0.25">
      <c r="A110">
        <v>3339</v>
      </c>
      <c r="B110" t="s">
        <v>146</v>
      </c>
      <c r="C110" t="s">
        <v>17</v>
      </c>
      <c r="D110" s="8">
        <v>45456</v>
      </c>
      <c r="E110" t="s">
        <v>38</v>
      </c>
      <c r="F110" s="10">
        <v>5</v>
      </c>
      <c r="G110" t="s">
        <v>21</v>
      </c>
      <c r="H110" t="s">
        <v>38</v>
      </c>
      <c r="I110" t="s">
        <v>39</v>
      </c>
      <c r="J110" t="s">
        <v>38</v>
      </c>
      <c r="K110" s="10">
        <v>0</v>
      </c>
      <c r="L110" s="10">
        <v>1</v>
      </c>
      <c r="M110" s="10">
        <v>4</v>
      </c>
    </row>
    <row r="111" spans="1:13" x14ac:dyDescent="0.25">
      <c r="A111">
        <v>3340</v>
      </c>
      <c r="B111" t="s">
        <v>147</v>
      </c>
      <c r="C111" t="s">
        <v>19</v>
      </c>
      <c r="D111" s="8">
        <v>45457</v>
      </c>
      <c r="E111" t="s">
        <v>36</v>
      </c>
      <c r="F111" s="10">
        <v>15</v>
      </c>
      <c r="G111" t="s">
        <v>20</v>
      </c>
      <c r="H111" t="s">
        <v>36</v>
      </c>
      <c r="I111" s="10">
        <v>30</v>
      </c>
      <c r="J111" t="s">
        <v>36</v>
      </c>
      <c r="K111" s="10">
        <v>20</v>
      </c>
      <c r="L111" s="10">
        <v>15</v>
      </c>
      <c r="M111" s="10">
        <v>50</v>
      </c>
    </row>
    <row r="112" spans="1:13" x14ac:dyDescent="0.25">
      <c r="A112">
        <v>3341</v>
      </c>
      <c r="B112" t="s">
        <v>148</v>
      </c>
      <c r="C112" t="s">
        <v>18</v>
      </c>
      <c r="D112" s="8">
        <v>45458</v>
      </c>
      <c r="E112" t="s">
        <v>38</v>
      </c>
      <c r="F112" s="10">
        <v>10</v>
      </c>
      <c r="G112" t="s">
        <v>20</v>
      </c>
      <c r="H112" t="s">
        <v>38</v>
      </c>
      <c r="I112" t="s">
        <v>39</v>
      </c>
      <c r="J112" t="s">
        <v>36</v>
      </c>
      <c r="K112" s="10">
        <v>20</v>
      </c>
      <c r="L112" s="10">
        <v>5</v>
      </c>
      <c r="M112" s="10">
        <v>25</v>
      </c>
    </row>
    <row r="113" spans="1:13" x14ac:dyDescent="0.25">
      <c r="A113">
        <v>3342</v>
      </c>
      <c r="B113" t="s">
        <v>149</v>
      </c>
      <c r="C113" t="s">
        <v>17</v>
      </c>
      <c r="D113" s="8">
        <v>45459</v>
      </c>
      <c r="E113" t="s">
        <v>36</v>
      </c>
      <c r="F113" s="10">
        <v>5</v>
      </c>
      <c r="G113" t="s">
        <v>22</v>
      </c>
      <c r="H113" t="s">
        <v>38</v>
      </c>
      <c r="I113" t="s">
        <v>39</v>
      </c>
      <c r="J113" t="s">
        <v>38</v>
      </c>
      <c r="K113" s="10">
        <v>0</v>
      </c>
      <c r="L113" s="10">
        <v>0</v>
      </c>
      <c r="M113" s="10">
        <v>5</v>
      </c>
    </row>
    <row r="114" spans="1:13" x14ac:dyDescent="0.25">
      <c r="A114">
        <v>3343</v>
      </c>
      <c r="B114" t="s">
        <v>150</v>
      </c>
      <c r="C114" t="s">
        <v>19</v>
      </c>
      <c r="D114" s="8">
        <v>45460</v>
      </c>
      <c r="E114" t="s">
        <v>38</v>
      </c>
      <c r="F114" s="10">
        <v>15</v>
      </c>
      <c r="G114" t="s">
        <v>21</v>
      </c>
      <c r="H114" t="s">
        <v>36</v>
      </c>
      <c r="I114" s="10">
        <v>30</v>
      </c>
      <c r="J114" t="s">
        <v>36</v>
      </c>
      <c r="K114" s="10">
        <v>20</v>
      </c>
      <c r="L114" s="10">
        <v>20</v>
      </c>
      <c r="M114" s="10">
        <v>45</v>
      </c>
    </row>
    <row r="115" spans="1:13" x14ac:dyDescent="0.25">
      <c r="A115">
        <v>3344</v>
      </c>
      <c r="B115" t="s">
        <v>151</v>
      </c>
      <c r="C115" t="s">
        <v>18</v>
      </c>
      <c r="D115" s="8">
        <v>45461</v>
      </c>
      <c r="E115" t="s">
        <v>36</v>
      </c>
      <c r="F115" s="10">
        <v>10</v>
      </c>
      <c r="G115" t="s">
        <v>21</v>
      </c>
      <c r="H115" t="s">
        <v>38</v>
      </c>
      <c r="I115" t="s">
        <v>39</v>
      </c>
      <c r="J115" t="s">
        <v>36</v>
      </c>
      <c r="K115" s="10">
        <v>20</v>
      </c>
      <c r="L115" s="10">
        <v>12</v>
      </c>
      <c r="M115" s="10">
        <v>18</v>
      </c>
    </row>
    <row r="116" spans="1:13" x14ac:dyDescent="0.25">
      <c r="A116">
        <v>3345</v>
      </c>
      <c r="B116" t="s">
        <v>152</v>
      </c>
      <c r="C116" t="s">
        <v>17</v>
      </c>
      <c r="D116" s="8">
        <v>45462</v>
      </c>
      <c r="E116" t="s">
        <v>38</v>
      </c>
      <c r="F116" s="10">
        <v>5</v>
      </c>
      <c r="G116" t="s">
        <v>20</v>
      </c>
      <c r="H116" t="s">
        <v>38</v>
      </c>
      <c r="I116" t="s">
        <v>39</v>
      </c>
      <c r="J116" t="s">
        <v>38</v>
      </c>
      <c r="K116" s="10">
        <v>0</v>
      </c>
      <c r="L116" s="10">
        <v>2</v>
      </c>
      <c r="M116" s="10">
        <v>3</v>
      </c>
    </row>
    <row r="117" spans="1:13" x14ac:dyDescent="0.25">
      <c r="A117">
        <v>3346</v>
      </c>
      <c r="B117" t="s">
        <v>153</v>
      </c>
      <c r="C117" t="s">
        <v>19</v>
      </c>
      <c r="D117" s="8">
        <v>45463</v>
      </c>
      <c r="E117" t="s">
        <v>36</v>
      </c>
      <c r="F117" s="10">
        <v>15</v>
      </c>
      <c r="G117" t="s">
        <v>22</v>
      </c>
      <c r="H117" t="s">
        <v>36</v>
      </c>
      <c r="I117" s="10">
        <v>30</v>
      </c>
      <c r="J117" t="s">
        <v>36</v>
      </c>
      <c r="K117" s="10">
        <v>20</v>
      </c>
      <c r="L117" s="10">
        <v>5</v>
      </c>
      <c r="M117" s="10">
        <v>60</v>
      </c>
    </row>
    <row r="118" spans="1:13" x14ac:dyDescent="0.25">
      <c r="A118">
        <v>3347</v>
      </c>
      <c r="B118" t="s">
        <v>154</v>
      </c>
      <c r="C118" t="s">
        <v>18</v>
      </c>
      <c r="D118" s="8">
        <v>45464</v>
      </c>
      <c r="E118" t="s">
        <v>38</v>
      </c>
      <c r="F118" s="10">
        <v>10</v>
      </c>
      <c r="G118" t="s">
        <v>20</v>
      </c>
      <c r="H118" t="s">
        <v>38</v>
      </c>
      <c r="I118" t="s">
        <v>39</v>
      </c>
      <c r="J118" t="s">
        <v>36</v>
      </c>
      <c r="K118" s="10">
        <v>20</v>
      </c>
      <c r="L118" s="10">
        <v>10</v>
      </c>
      <c r="M118" s="10">
        <v>20</v>
      </c>
    </row>
    <row r="119" spans="1:13" x14ac:dyDescent="0.25">
      <c r="A119">
        <v>3348</v>
      </c>
      <c r="B119" t="s">
        <v>155</v>
      </c>
      <c r="C119" t="s">
        <v>17</v>
      </c>
      <c r="D119" s="8">
        <v>45465</v>
      </c>
      <c r="E119" t="s">
        <v>36</v>
      </c>
      <c r="F119" s="10">
        <v>5</v>
      </c>
      <c r="G119" t="s">
        <v>21</v>
      </c>
      <c r="H119" t="s">
        <v>38</v>
      </c>
      <c r="I119" t="s">
        <v>39</v>
      </c>
      <c r="J119" t="s">
        <v>38</v>
      </c>
      <c r="K119" s="10">
        <v>0</v>
      </c>
      <c r="L119" s="10">
        <v>0</v>
      </c>
      <c r="M119" s="10">
        <v>5</v>
      </c>
    </row>
    <row r="120" spans="1:13" x14ac:dyDescent="0.25">
      <c r="A120">
        <v>3349</v>
      </c>
      <c r="B120" t="s">
        <v>131</v>
      </c>
      <c r="C120" t="s">
        <v>19</v>
      </c>
      <c r="D120" s="8">
        <v>45466</v>
      </c>
      <c r="E120" t="s">
        <v>38</v>
      </c>
      <c r="F120" s="10">
        <v>15</v>
      </c>
      <c r="G120" t="s">
        <v>20</v>
      </c>
      <c r="H120" t="s">
        <v>36</v>
      </c>
      <c r="I120" s="10">
        <v>30</v>
      </c>
      <c r="J120" t="s">
        <v>36</v>
      </c>
      <c r="K120" s="10">
        <v>20</v>
      </c>
      <c r="L120" s="10">
        <v>3</v>
      </c>
      <c r="M120" s="10">
        <v>62</v>
      </c>
    </row>
    <row r="121" spans="1:13" x14ac:dyDescent="0.25">
      <c r="A121">
        <v>3350</v>
      </c>
      <c r="B121" t="s">
        <v>156</v>
      </c>
      <c r="C121" t="s">
        <v>18</v>
      </c>
      <c r="D121" s="8">
        <v>45467</v>
      </c>
      <c r="E121" t="s">
        <v>36</v>
      </c>
      <c r="F121" s="10">
        <v>10</v>
      </c>
      <c r="G121" t="s">
        <v>22</v>
      </c>
      <c r="H121" t="s">
        <v>38</v>
      </c>
      <c r="I121" t="s">
        <v>39</v>
      </c>
      <c r="J121" t="s">
        <v>36</v>
      </c>
      <c r="K121" s="10">
        <v>20</v>
      </c>
      <c r="L121" s="10">
        <v>15</v>
      </c>
      <c r="M121" s="10">
        <v>15</v>
      </c>
    </row>
    <row r="122" spans="1:13" x14ac:dyDescent="0.25">
      <c r="A122">
        <v>3351</v>
      </c>
      <c r="B122" t="s">
        <v>157</v>
      </c>
      <c r="C122" t="s">
        <v>17</v>
      </c>
      <c r="D122" s="8">
        <v>45468</v>
      </c>
      <c r="E122" t="s">
        <v>38</v>
      </c>
      <c r="F122" s="10">
        <v>5</v>
      </c>
      <c r="G122" t="s">
        <v>20</v>
      </c>
      <c r="H122" t="s">
        <v>38</v>
      </c>
      <c r="I122" t="s">
        <v>39</v>
      </c>
      <c r="J122" t="s">
        <v>38</v>
      </c>
      <c r="K122" s="10">
        <v>0</v>
      </c>
      <c r="L122" s="10">
        <v>1</v>
      </c>
      <c r="M122" s="10">
        <v>4</v>
      </c>
    </row>
    <row r="123" spans="1:13" x14ac:dyDescent="0.25">
      <c r="A123">
        <v>3352</v>
      </c>
      <c r="B123" t="s">
        <v>158</v>
      </c>
      <c r="C123" t="s">
        <v>19</v>
      </c>
      <c r="D123" s="8">
        <v>45469</v>
      </c>
      <c r="E123" t="s">
        <v>36</v>
      </c>
      <c r="F123" s="10">
        <v>15</v>
      </c>
      <c r="G123" t="s">
        <v>21</v>
      </c>
      <c r="H123" t="s">
        <v>36</v>
      </c>
      <c r="I123" s="10">
        <v>30</v>
      </c>
      <c r="J123" t="s">
        <v>36</v>
      </c>
      <c r="K123" s="10">
        <v>20</v>
      </c>
      <c r="L123" s="10">
        <v>7</v>
      </c>
      <c r="M123" s="10">
        <v>58</v>
      </c>
    </row>
    <row r="124" spans="1:13" x14ac:dyDescent="0.25">
      <c r="A124">
        <v>3353</v>
      </c>
      <c r="B124" t="s">
        <v>159</v>
      </c>
      <c r="C124" t="s">
        <v>18</v>
      </c>
      <c r="D124" s="8">
        <v>45470</v>
      </c>
      <c r="E124" t="s">
        <v>38</v>
      </c>
      <c r="F124" s="10">
        <v>10</v>
      </c>
      <c r="G124" t="s">
        <v>20</v>
      </c>
      <c r="H124" t="s">
        <v>38</v>
      </c>
      <c r="I124" t="s">
        <v>39</v>
      </c>
      <c r="J124" t="s">
        <v>36</v>
      </c>
      <c r="K124" s="10">
        <v>20</v>
      </c>
      <c r="L124" s="10">
        <v>10</v>
      </c>
      <c r="M124" s="10">
        <v>20</v>
      </c>
    </row>
    <row r="125" spans="1:13" x14ac:dyDescent="0.25">
      <c r="A125">
        <v>3354</v>
      </c>
      <c r="B125" t="s">
        <v>160</v>
      </c>
      <c r="C125" t="s">
        <v>17</v>
      </c>
      <c r="D125" s="8">
        <v>45471</v>
      </c>
      <c r="E125" t="s">
        <v>36</v>
      </c>
      <c r="F125" s="10">
        <v>5</v>
      </c>
      <c r="G125" t="s">
        <v>22</v>
      </c>
      <c r="H125" t="s">
        <v>38</v>
      </c>
      <c r="I125" t="s">
        <v>39</v>
      </c>
      <c r="J125" t="s">
        <v>38</v>
      </c>
      <c r="K125" s="10">
        <v>0</v>
      </c>
      <c r="L125" s="10">
        <v>0</v>
      </c>
      <c r="M125" s="10">
        <v>5</v>
      </c>
    </row>
    <row r="126" spans="1:13" x14ac:dyDescent="0.25">
      <c r="A126">
        <v>3355</v>
      </c>
      <c r="B126" t="s">
        <v>161</v>
      </c>
      <c r="C126" t="s">
        <v>19</v>
      </c>
      <c r="D126" s="8">
        <v>45472</v>
      </c>
      <c r="E126" t="s">
        <v>38</v>
      </c>
      <c r="F126" s="10">
        <v>15</v>
      </c>
      <c r="G126" t="s">
        <v>20</v>
      </c>
      <c r="H126" t="s">
        <v>36</v>
      </c>
      <c r="I126" s="10">
        <v>30</v>
      </c>
      <c r="J126" t="s">
        <v>36</v>
      </c>
      <c r="K126" s="10">
        <v>20</v>
      </c>
      <c r="L126" s="10">
        <v>20</v>
      </c>
      <c r="M126" s="10">
        <v>45</v>
      </c>
    </row>
    <row r="127" spans="1:13" x14ac:dyDescent="0.25">
      <c r="A127">
        <v>3356</v>
      </c>
      <c r="B127" t="s">
        <v>162</v>
      </c>
      <c r="C127" t="s">
        <v>18</v>
      </c>
      <c r="D127" s="8">
        <v>45473</v>
      </c>
      <c r="E127" t="s">
        <v>36</v>
      </c>
      <c r="F127" s="10">
        <v>10</v>
      </c>
      <c r="G127" t="s">
        <v>21</v>
      </c>
      <c r="H127" t="s">
        <v>38</v>
      </c>
      <c r="I127" t="s">
        <v>39</v>
      </c>
      <c r="J127" t="s">
        <v>36</v>
      </c>
      <c r="K127" s="10">
        <v>20</v>
      </c>
      <c r="L127" s="10">
        <v>15</v>
      </c>
      <c r="M127" s="10">
        <v>15</v>
      </c>
    </row>
    <row r="128" spans="1:13" x14ac:dyDescent="0.25">
      <c r="A128">
        <v>3357</v>
      </c>
      <c r="B128" t="s">
        <v>163</v>
      </c>
      <c r="C128" t="s">
        <v>17</v>
      </c>
      <c r="D128" s="8">
        <v>45474</v>
      </c>
      <c r="E128" t="s">
        <v>38</v>
      </c>
      <c r="F128" s="10">
        <v>5</v>
      </c>
      <c r="G128" t="s">
        <v>20</v>
      </c>
      <c r="H128" t="s">
        <v>38</v>
      </c>
      <c r="I128" t="s">
        <v>39</v>
      </c>
      <c r="J128" t="s">
        <v>38</v>
      </c>
      <c r="K128" s="10">
        <v>0</v>
      </c>
      <c r="L128" s="10">
        <v>1</v>
      </c>
      <c r="M128" s="10">
        <v>4</v>
      </c>
    </row>
    <row r="129" spans="1:13" x14ac:dyDescent="0.25">
      <c r="A129">
        <v>3358</v>
      </c>
      <c r="B129" t="s">
        <v>164</v>
      </c>
      <c r="C129" t="s">
        <v>19</v>
      </c>
      <c r="D129" s="8">
        <v>45475</v>
      </c>
      <c r="E129" t="s">
        <v>36</v>
      </c>
      <c r="F129" s="10">
        <v>15</v>
      </c>
      <c r="G129" t="s">
        <v>22</v>
      </c>
      <c r="H129" t="s">
        <v>36</v>
      </c>
      <c r="I129" s="10">
        <v>30</v>
      </c>
      <c r="J129" t="s">
        <v>36</v>
      </c>
      <c r="K129" s="10">
        <v>20</v>
      </c>
      <c r="L129" s="10">
        <v>3</v>
      </c>
      <c r="M129" s="10">
        <v>62</v>
      </c>
    </row>
    <row r="130" spans="1:13" x14ac:dyDescent="0.25">
      <c r="A130">
        <v>3359</v>
      </c>
      <c r="B130" t="s">
        <v>165</v>
      </c>
      <c r="C130" t="s">
        <v>18</v>
      </c>
      <c r="D130" s="8">
        <v>45476</v>
      </c>
      <c r="E130" t="s">
        <v>38</v>
      </c>
      <c r="F130" s="10">
        <v>10</v>
      </c>
      <c r="G130" t="s">
        <v>20</v>
      </c>
      <c r="H130" t="s">
        <v>38</v>
      </c>
      <c r="I130" t="s">
        <v>39</v>
      </c>
      <c r="J130" t="s">
        <v>36</v>
      </c>
      <c r="K130" s="10">
        <v>20</v>
      </c>
      <c r="L130" s="10">
        <v>10</v>
      </c>
      <c r="M130" s="10">
        <v>20</v>
      </c>
    </row>
    <row r="131" spans="1:13" x14ac:dyDescent="0.25">
      <c r="A131">
        <v>3360</v>
      </c>
      <c r="B131" t="s">
        <v>166</v>
      </c>
      <c r="C131" t="s">
        <v>17</v>
      </c>
      <c r="D131" s="8">
        <v>45477</v>
      </c>
      <c r="E131" t="s">
        <v>36</v>
      </c>
      <c r="F131" s="10">
        <v>5</v>
      </c>
      <c r="G131" t="s">
        <v>21</v>
      </c>
      <c r="H131" t="s">
        <v>38</v>
      </c>
      <c r="I131" t="s">
        <v>39</v>
      </c>
      <c r="J131" t="s">
        <v>38</v>
      </c>
      <c r="K131" s="10">
        <v>0</v>
      </c>
      <c r="L131" s="10">
        <v>0</v>
      </c>
      <c r="M131" s="10">
        <v>5</v>
      </c>
    </row>
    <row r="132" spans="1:13" x14ac:dyDescent="0.25">
      <c r="A132">
        <v>3361</v>
      </c>
      <c r="B132" t="s">
        <v>167</v>
      </c>
      <c r="C132" t="s">
        <v>19</v>
      </c>
      <c r="D132" s="8">
        <v>45478</v>
      </c>
      <c r="E132" t="s">
        <v>38</v>
      </c>
      <c r="F132" s="10">
        <v>15</v>
      </c>
      <c r="G132" t="s">
        <v>20</v>
      </c>
      <c r="H132" t="s">
        <v>36</v>
      </c>
      <c r="I132" s="10">
        <v>30</v>
      </c>
      <c r="J132" t="s">
        <v>36</v>
      </c>
      <c r="K132" s="10">
        <v>20</v>
      </c>
      <c r="L132" s="10">
        <v>15</v>
      </c>
      <c r="M132" s="10">
        <v>50</v>
      </c>
    </row>
    <row r="133" spans="1:13" x14ac:dyDescent="0.25">
      <c r="A133">
        <v>3362</v>
      </c>
      <c r="B133" t="s">
        <v>168</v>
      </c>
      <c r="C133" t="s">
        <v>18</v>
      </c>
      <c r="D133" s="8">
        <v>45479</v>
      </c>
      <c r="E133" t="s">
        <v>36</v>
      </c>
      <c r="F133" s="10">
        <v>10</v>
      </c>
      <c r="G133" t="s">
        <v>22</v>
      </c>
      <c r="H133" t="s">
        <v>38</v>
      </c>
      <c r="I133" t="s">
        <v>39</v>
      </c>
      <c r="J133" t="s">
        <v>36</v>
      </c>
      <c r="K133" s="10">
        <v>20</v>
      </c>
      <c r="L133" s="10">
        <v>15</v>
      </c>
      <c r="M133" s="10">
        <v>15</v>
      </c>
    </row>
    <row r="134" spans="1:13" x14ac:dyDescent="0.25">
      <c r="A134">
        <v>3363</v>
      </c>
      <c r="B134" t="s">
        <v>169</v>
      </c>
      <c r="C134" t="s">
        <v>17</v>
      </c>
      <c r="D134" s="8">
        <v>45480</v>
      </c>
      <c r="E134" t="s">
        <v>38</v>
      </c>
      <c r="F134" s="10">
        <v>5</v>
      </c>
      <c r="G134" t="s">
        <v>20</v>
      </c>
      <c r="H134" t="s">
        <v>38</v>
      </c>
      <c r="I134" t="s">
        <v>39</v>
      </c>
      <c r="J134" t="s">
        <v>38</v>
      </c>
      <c r="K134" s="10">
        <v>0</v>
      </c>
      <c r="L134" s="10">
        <v>1</v>
      </c>
      <c r="M134" s="10">
        <v>4</v>
      </c>
    </row>
    <row r="135" spans="1:13" x14ac:dyDescent="0.25">
      <c r="A135">
        <v>3364</v>
      </c>
      <c r="B135" t="s">
        <v>170</v>
      </c>
      <c r="C135" t="s">
        <v>19</v>
      </c>
      <c r="D135" s="8">
        <v>45481</v>
      </c>
      <c r="E135" t="s">
        <v>36</v>
      </c>
      <c r="F135" s="10">
        <v>15</v>
      </c>
      <c r="G135" t="s">
        <v>21</v>
      </c>
      <c r="H135" t="s">
        <v>36</v>
      </c>
      <c r="I135" s="10">
        <v>30</v>
      </c>
      <c r="J135" t="s">
        <v>36</v>
      </c>
      <c r="K135" s="10">
        <v>20</v>
      </c>
      <c r="L135" s="10">
        <v>7</v>
      </c>
      <c r="M135" s="10">
        <v>58</v>
      </c>
    </row>
    <row r="136" spans="1:13" x14ac:dyDescent="0.25">
      <c r="A136">
        <v>3365</v>
      </c>
      <c r="B136" t="s">
        <v>171</v>
      </c>
      <c r="C136" t="s">
        <v>18</v>
      </c>
      <c r="D136" s="8">
        <v>45482</v>
      </c>
      <c r="E136" t="s">
        <v>38</v>
      </c>
      <c r="F136" s="10">
        <v>10</v>
      </c>
      <c r="G136" t="s">
        <v>20</v>
      </c>
      <c r="H136" t="s">
        <v>38</v>
      </c>
      <c r="I136" t="s">
        <v>39</v>
      </c>
      <c r="J136" t="s">
        <v>36</v>
      </c>
      <c r="K136" s="10">
        <v>20</v>
      </c>
      <c r="L136" s="10">
        <v>10</v>
      </c>
      <c r="M136" s="10">
        <v>20</v>
      </c>
    </row>
    <row r="137" spans="1:13" x14ac:dyDescent="0.25">
      <c r="A137">
        <v>3366</v>
      </c>
      <c r="B137" t="s">
        <v>172</v>
      </c>
      <c r="C137" t="s">
        <v>17</v>
      </c>
      <c r="D137" s="8">
        <v>45483</v>
      </c>
      <c r="E137" t="s">
        <v>36</v>
      </c>
      <c r="F137" s="10">
        <v>5</v>
      </c>
      <c r="G137" t="s">
        <v>20</v>
      </c>
      <c r="H137" t="s">
        <v>38</v>
      </c>
      <c r="I137" t="s">
        <v>39</v>
      </c>
      <c r="J137" t="s">
        <v>38</v>
      </c>
      <c r="K137" s="10">
        <v>0</v>
      </c>
      <c r="L137" s="10">
        <v>0</v>
      </c>
      <c r="M137" s="10">
        <v>5</v>
      </c>
    </row>
    <row r="138" spans="1:13" x14ac:dyDescent="0.25">
      <c r="A138">
        <v>3367</v>
      </c>
      <c r="B138" t="s">
        <v>173</v>
      </c>
      <c r="C138" t="s">
        <v>19</v>
      </c>
      <c r="D138" s="8">
        <v>45484</v>
      </c>
      <c r="E138" t="s">
        <v>38</v>
      </c>
      <c r="F138" s="10">
        <v>15</v>
      </c>
      <c r="G138" t="s">
        <v>21</v>
      </c>
      <c r="H138" t="s">
        <v>36</v>
      </c>
      <c r="I138" s="10">
        <v>30</v>
      </c>
      <c r="J138" t="s">
        <v>36</v>
      </c>
      <c r="K138" s="10">
        <v>20</v>
      </c>
      <c r="L138" s="10">
        <v>7</v>
      </c>
      <c r="M138" s="10">
        <v>58</v>
      </c>
    </row>
    <row r="139" spans="1:13" x14ac:dyDescent="0.25">
      <c r="A139">
        <v>3368</v>
      </c>
      <c r="B139" t="s">
        <v>174</v>
      </c>
      <c r="C139" t="s">
        <v>18</v>
      </c>
      <c r="D139" s="8">
        <v>45485</v>
      </c>
      <c r="E139" t="s">
        <v>36</v>
      </c>
      <c r="F139" s="10">
        <v>10</v>
      </c>
      <c r="G139" t="s">
        <v>22</v>
      </c>
      <c r="H139" t="s">
        <v>38</v>
      </c>
      <c r="I139" t="s">
        <v>39</v>
      </c>
      <c r="J139" t="s">
        <v>36</v>
      </c>
      <c r="K139" s="10">
        <v>20</v>
      </c>
      <c r="L139" s="10">
        <v>10</v>
      </c>
      <c r="M139" s="10">
        <v>20</v>
      </c>
    </row>
    <row r="140" spans="1:13" x14ac:dyDescent="0.25">
      <c r="A140">
        <v>3369</v>
      </c>
      <c r="B140" t="s">
        <v>175</v>
      </c>
      <c r="C140" t="s">
        <v>17</v>
      </c>
      <c r="D140" s="8">
        <v>45486</v>
      </c>
      <c r="E140" t="s">
        <v>38</v>
      </c>
      <c r="F140" s="10">
        <v>5</v>
      </c>
      <c r="G140" t="s">
        <v>21</v>
      </c>
      <c r="H140" t="s">
        <v>38</v>
      </c>
      <c r="I140" t="s">
        <v>39</v>
      </c>
      <c r="J140" t="s">
        <v>38</v>
      </c>
      <c r="K140" s="10">
        <v>0</v>
      </c>
      <c r="L140" s="10">
        <v>1</v>
      </c>
      <c r="M140" s="10">
        <v>4</v>
      </c>
    </row>
    <row r="141" spans="1:13" x14ac:dyDescent="0.25">
      <c r="A141">
        <v>3370</v>
      </c>
      <c r="B141" t="s">
        <v>176</v>
      </c>
      <c r="C141" t="s">
        <v>19</v>
      </c>
      <c r="D141" s="8">
        <v>45487</v>
      </c>
      <c r="E141" t="s">
        <v>36</v>
      </c>
      <c r="F141" s="10">
        <v>15</v>
      </c>
      <c r="G141" t="s">
        <v>20</v>
      </c>
      <c r="H141" t="s">
        <v>36</v>
      </c>
      <c r="I141" s="10">
        <v>30</v>
      </c>
      <c r="J141" t="s">
        <v>36</v>
      </c>
      <c r="K141" s="10">
        <v>20</v>
      </c>
      <c r="L141" s="10">
        <v>15</v>
      </c>
      <c r="M141" s="10">
        <v>50</v>
      </c>
    </row>
    <row r="142" spans="1:13" x14ac:dyDescent="0.25">
      <c r="A142">
        <v>3371</v>
      </c>
      <c r="B142" t="s">
        <v>177</v>
      </c>
      <c r="C142" t="s">
        <v>18</v>
      </c>
      <c r="D142" s="8">
        <v>45488</v>
      </c>
      <c r="E142" t="s">
        <v>38</v>
      </c>
      <c r="F142" s="10">
        <v>10</v>
      </c>
      <c r="G142" t="s">
        <v>20</v>
      </c>
      <c r="H142" t="s">
        <v>38</v>
      </c>
      <c r="I142" t="s">
        <v>39</v>
      </c>
      <c r="J142" t="s">
        <v>36</v>
      </c>
      <c r="K142" s="10">
        <v>20</v>
      </c>
      <c r="L142" s="10">
        <v>5</v>
      </c>
      <c r="M142" s="10">
        <v>25</v>
      </c>
    </row>
    <row r="143" spans="1:13" x14ac:dyDescent="0.25">
      <c r="A143">
        <v>3372</v>
      </c>
      <c r="B143" t="s">
        <v>178</v>
      </c>
      <c r="C143" t="s">
        <v>17</v>
      </c>
      <c r="D143" s="8">
        <v>45489</v>
      </c>
      <c r="E143" t="s">
        <v>36</v>
      </c>
      <c r="F143" s="10">
        <v>5</v>
      </c>
      <c r="G143" t="s">
        <v>22</v>
      </c>
      <c r="H143" t="s">
        <v>38</v>
      </c>
      <c r="I143" t="s">
        <v>39</v>
      </c>
      <c r="J143" t="s">
        <v>38</v>
      </c>
      <c r="K143" s="10">
        <v>0</v>
      </c>
      <c r="L143" s="10">
        <v>0</v>
      </c>
      <c r="M143" s="10">
        <v>5</v>
      </c>
    </row>
    <row r="144" spans="1:13" x14ac:dyDescent="0.25">
      <c r="A144">
        <v>3373</v>
      </c>
      <c r="B144" t="s">
        <v>179</v>
      </c>
      <c r="C144" t="s">
        <v>19</v>
      </c>
      <c r="D144" s="8">
        <v>45490</v>
      </c>
      <c r="E144" t="s">
        <v>38</v>
      </c>
      <c r="F144" s="10">
        <v>15</v>
      </c>
      <c r="G144" t="s">
        <v>21</v>
      </c>
      <c r="H144" t="s">
        <v>36</v>
      </c>
      <c r="I144" s="10">
        <v>30</v>
      </c>
      <c r="J144" t="s">
        <v>36</v>
      </c>
      <c r="K144" s="10">
        <v>20</v>
      </c>
      <c r="L144" s="10">
        <v>20</v>
      </c>
      <c r="M144" s="10">
        <v>45</v>
      </c>
    </row>
    <row r="145" spans="1:13" x14ac:dyDescent="0.25">
      <c r="A145">
        <v>3374</v>
      </c>
      <c r="B145" t="s">
        <v>180</v>
      </c>
      <c r="C145" t="s">
        <v>18</v>
      </c>
      <c r="D145" s="8">
        <v>45491</v>
      </c>
      <c r="E145" t="s">
        <v>36</v>
      </c>
      <c r="F145" s="10">
        <v>10</v>
      </c>
      <c r="G145" t="s">
        <v>21</v>
      </c>
      <c r="H145" t="s">
        <v>38</v>
      </c>
      <c r="I145" t="s">
        <v>39</v>
      </c>
      <c r="J145" t="s">
        <v>36</v>
      </c>
      <c r="K145" s="10">
        <v>20</v>
      </c>
      <c r="L145" s="10">
        <v>12</v>
      </c>
      <c r="M145" s="10">
        <v>18</v>
      </c>
    </row>
    <row r="146" spans="1:13" x14ac:dyDescent="0.25">
      <c r="A146">
        <v>3375</v>
      </c>
      <c r="B146" t="s">
        <v>181</v>
      </c>
      <c r="C146" t="s">
        <v>17</v>
      </c>
      <c r="D146" s="8">
        <v>45492</v>
      </c>
      <c r="E146" t="s">
        <v>38</v>
      </c>
      <c r="F146" s="10">
        <v>5</v>
      </c>
      <c r="G146" t="s">
        <v>20</v>
      </c>
      <c r="H146" t="s">
        <v>38</v>
      </c>
      <c r="I146" t="s">
        <v>39</v>
      </c>
      <c r="J146" t="s">
        <v>38</v>
      </c>
      <c r="K146" s="10">
        <v>0</v>
      </c>
      <c r="L146" s="10">
        <v>2</v>
      </c>
      <c r="M146" s="10">
        <v>3</v>
      </c>
    </row>
    <row r="147" spans="1:13" x14ac:dyDescent="0.25">
      <c r="A147">
        <v>3376</v>
      </c>
      <c r="B147" t="s">
        <v>182</v>
      </c>
      <c r="C147" t="s">
        <v>19</v>
      </c>
      <c r="D147" s="8">
        <v>45493</v>
      </c>
      <c r="E147" t="s">
        <v>36</v>
      </c>
      <c r="F147" s="10">
        <v>15</v>
      </c>
      <c r="G147" t="s">
        <v>22</v>
      </c>
      <c r="H147" t="s">
        <v>36</v>
      </c>
      <c r="I147" s="10">
        <v>30</v>
      </c>
      <c r="J147" t="s">
        <v>36</v>
      </c>
      <c r="K147" s="10">
        <v>20</v>
      </c>
      <c r="L147" s="10">
        <v>5</v>
      </c>
      <c r="M147" s="10">
        <v>60</v>
      </c>
    </row>
    <row r="148" spans="1:13" x14ac:dyDescent="0.25">
      <c r="A148">
        <v>3377</v>
      </c>
      <c r="B148" t="s">
        <v>183</v>
      </c>
      <c r="C148" t="s">
        <v>18</v>
      </c>
      <c r="D148" s="8">
        <v>45494</v>
      </c>
      <c r="E148" t="s">
        <v>38</v>
      </c>
      <c r="F148" s="10">
        <v>10</v>
      </c>
      <c r="G148" t="s">
        <v>20</v>
      </c>
      <c r="H148" t="s">
        <v>38</v>
      </c>
      <c r="I148" t="s">
        <v>39</v>
      </c>
      <c r="J148" t="s">
        <v>36</v>
      </c>
      <c r="K148" s="10">
        <v>20</v>
      </c>
      <c r="L148" s="10">
        <v>10</v>
      </c>
      <c r="M148" s="10">
        <v>20</v>
      </c>
    </row>
    <row r="149" spans="1:13" x14ac:dyDescent="0.25">
      <c r="A149">
        <v>3378</v>
      </c>
      <c r="B149" t="s">
        <v>184</v>
      </c>
      <c r="C149" t="s">
        <v>17</v>
      </c>
      <c r="D149" s="8">
        <v>45495</v>
      </c>
      <c r="E149" t="s">
        <v>36</v>
      </c>
      <c r="F149" s="10">
        <v>5</v>
      </c>
      <c r="G149" t="s">
        <v>21</v>
      </c>
      <c r="H149" t="s">
        <v>38</v>
      </c>
      <c r="I149" t="s">
        <v>39</v>
      </c>
      <c r="J149" t="s">
        <v>38</v>
      </c>
      <c r="K149" s="10">
        <v>0</v>
      </c>
      <c r="L149" s="10">
        <v>0</v>
      </c>
      <c r="M149" s="10">
        <v>5</v>
      </c>
    </row>
    <row r="150" spans="1:13" x14ac:dyDescent="0.25">
      <c r="A150">
        <v>3379</v>
      </c>
      <c r="B150" t="s">
        <v>185</v>
      </c>
      <c r="C150" t="s">
        <v>19</v>
      </c>
      <c r="D150" s="8">
        <v>45496</v>
      </c>
      <c r="E150" t="s">
        <v>38</v>
      </c>
      <c r="F150" s="10">
        <v>15</v>
      </c>
      <c r="G150" t="s">
        <v>20</v>
      </c>
      <c r="H150" t="s">
        <v>36</v>
      </c>
      <c r="I150" s="10">
        <v>30</v>
      </c>
      <c r="J150" t="s">
        <v>36</v>
      </c>
      <c r="K150" s="10">
        <v>20</v>
      </c>
      <c r="L150" s="10">
        <v>3</v>
      </c>
      <c r="M150" s="10">
        <v>62</v>
      </c>
    </row>
    <row r="151" spans="1:13" x14ac:dyDescent="0.25">
      <c r="A151">
        <v>3380</v>
      </c>
      <c r="B151" t="s">
        <v>186</v>
      </c>
      <c r="C151" t="s">
        <v>18</v>
      </c>
      <c r="D151" s="8">
        <v>45497</v>
      </c>
      <c r="E151" t="s">
        <v>36</v>
      </c>
      <c r="F151" s="10">
        <v>10</v>
      </c>
      <c r="G151" t="s">
        <v>22</v>
      </c>
      <c r="H151" t="s">
        <v>38</v>
      </c>
      <c r="I151" t="s">
        <v>39</v>
      </c>
      <c r="J151" t="s">
        <v>36</v>
      </c>
      <c r="K151" s="10">
        <v>20</v>
      </c>
      <c r="L151" s="10">
        <v>15</v>
      </c>
      <c r="M151" s="10">
        <v>15</v>
      </c>
    </row>
    <row r="152" spans="1:13" x14ac:dyDescent="0.25">
      <c r="A152">
        <v>3381</v>
      </c>
      <c r="B152" t="s">
        <v>187</v>
      </c>
      <c r="C152" t="s">
        <v>17</v>
      </c>
      <c r="D152" s="8">
        <v>45498</v>
      </c>
      <c r="E152" t="s">
        <v>38</v>
      </c>
      <c r="F152" s="10">
        <v>5</v>
      </c>
      <c r="G152" t="s">
        <v>20</v>
      </c>
      <c r="H152" t="s">
        <v>38</v>
      </c>
      <c r="I152" t="s">
        <v>39</v>
      </c>
      <c r="J152" t="s">
        <v>38</v>
      </c>
      <c r="K152" s="10">
        <v>0</v>
      </c>
      <c r="L152" s="10">
        <v>1</v>
      </c>
      <c r="M152" s="10">
        <v>4</v>
      </c>
    </row>
    <row r="153" spans="1:13" x14ac:dyDescent="0.25">
      <c r="A153">
        <v>3382</v>
      </c>
      <c r="B153" t="s">
        <v>188</v>
      </c>
      <c r="C153" t="s">
        <v>19</v>
      </c>
      <c r="D153" s="8">
        <v>45499</v>
      </c>
      <c r="E153" t="s">
        <v>36</v>
      </c>
      <c r="F153" s="10">
        <v>15</v>
      </c>
      <c r="G153" t="s">
        <v>21</v>
      </c>
      <c r="H153" t="s">
        <v>36</v>
      </c>
      <c r="I153" s="10">
        <v>30</v>
      </c>
      <c r="J153" t="s">
        <v>36</v>
      </c>
      <c r="K153" s="10">
        <v>20</v>
      </c>
      <c r="L153" s="10">
        <v>7</v>
      </c>
      <c r="M153" s="10">
        <v>58</v>
      </c>
    </row>
    <row r="154" spans="1:13" x14ac:dyDescent="0.25">
      <c r="A154">
        <v>3383</v>
      </c>
      <c r="B154" t="s">
        <v>189</v>
      </c>
      <c r="C154" t="s">
        <v>18</v>
      </c>
      <c r="D154" s="8">
        <v>45500</v>
      </c>
      <c r="E154" t="s">
        <v>38</v>
      </c>
      <c r="F154" s="10">
        <v>10</v>
      </c>
      <c r="G154" t="s">
        <v>20</v>
      </c>
      <c r="H154" t="s">
        <v>38</v>
      </c>
      <c r="I154" t="s">
        <v>39</v>
      </c>
      <c r="J154" t="s">
        <v>36</v>
      </c>
      <c r="K154" s="10">
        <v>20</v>
      </c>
      <c r="L154" s="10">
        <v>10</v>
      </c>
      <c r="M154" s="10">
        <v>20</v>
      </c>
    </row>
    <row r="155" spans="1:13" x14ac:dyDescent="0.25">
      <c r="A155">
        <v>3384</v>
      </c>
      <c r="B155" t="s">
        <v>190</v>
      </c>
      <c r="C155" t="s">
        <v>17</v>
      </c>
      <c r="D155" s="8">
        <v>45501</v>
      </c>
      <c r="E155" t="s">
        <v>36</v>
      </c>
      <c r="F155" s="10">
        <v>5</v>
      </c>
      <c r="G155" t="s">
        <v>22</v>
      </c>
      <c r="H155" t="s">
        <v>38</v>
      </c>
      <c r="I155" t="s">
        <v>39</v>
      </c>
      <c r="J155" t="s">
        <v>38</v>
      </c>
      <c r="K155" s="10">
        <v>0</v>
      </c>
      <c r="L155" s="10">
        <v>0</v>
      </c>
      <c r="M155" s="10">
        <v>5</v>
      </c>
    </row>
    <row r="156" spans="1:13" x14ac:dyDescent="0.25">
      <c r="A156">
        <v>3385</v>
      </c>
      <c r="B156" t="s">
        <v>191</v>
      </c>
      <c r="C156" t="s">
        <v>19</v>
      </c>
      <c r="D156" s="8">
        <v>45502</v>
      </c>
      <c r="E156" t="s">
        <v>38</v>
      </c>
      <c r="F156" s="10">
        <v>15</v>
      </c>
      <c r="G156" t="s">
        <v>20</v>
      </c>
      <c r="H156" t="s">
        <v>36</v>
      </c>
      <c r="I156" s="10">
        <v>30</v>
      </c>
      <c r="J156" t="s">
        <v>36</v>
      </c>
      <c r="K156" s="10">
        <v>20</v>
      </c>
      <c r="L156" s="10">
        <v>20</v>
      </c>
      <c r="M156" s="10">
        <v>45</v>
      </c>
    </row>
    <row r="157" spans="1:13" x14ac:dyDescent="0.25">
      <c r="A157">
        <v>3386</v>
      </c>
      <c r="B157" t="s">
        <v>192</v>
      </c>
      <c r="C157" t="s">
        <v>18</v>
      </c>
      <c r="D157" s="8">
        <v>45503</v>
      </c>
      <c r="E157" t="s">
        <v>36</v>
      </c>
      <c r="F157" s="10">
        <v>10</v>
      </c>
      <c r="G157" t="s">
        <v>21</v>
      </c>
      <c r="H157" t="s">
        <v>38</v>
      </c>
      <c r="I157" t="s">
        <v>39</v>
      </c>
      <c r="J157" t="s">
        <v>36</v>
      </c>
      <c r="K157" s="10">
        <v>20</v>
      </c>
      <c r="L157" s="10">
        <v>15</v>
      </c>
      <c r="M157" s="10">
        <v>15</v>
      </c>
    </row>
    <row r="158" spans="1:13" x14ac:dyDescent="0.25">
      <c r="A158">
        <v>3387</v>
      </c>
      <c r="B158" t="s">
        <v>193</v>
      </c>
      <c r="C158" t="s">
        <v>17</v>
      </c>
      <c r="D158" s="8">
        <v>45504</v>
      </c>
      <c r="E158" t="s">
        <v>38</v>
      </c>
      <c r="F158" s="10">
        <v>5</v>
      </c>
      <c r="G158" t="s">
        <v>20</v>
      </c>
      <c r="H158" t="s">
        <v>38</v>
      </c>
      <c r="I158" t="s">
        <v>39</v>
      </c>
      <c r="J158" t="s">
        <v>38</v>
      </c>
      <c r="K158" s="10">
        <v>0</v>
      </c>
      <c r="L158" s="10">
        <v>1</v>
      </c>
      <c r="M158" s="10">
        <v>4</v>
      </c>
    </row>
    <row r="159" spans="1:13" x14ac:dyDescent="0.25">
      <c r="A159">
        <v>3388</v>
      </c>
      <c r="B159" t="s">
        <v>194</v>
      </c>
      <c r="C159" t="s">
        <v>19</v>
      </c>
      <c r="D159" s="8">
        <v>45505</v>
      </c>
      <c r="E159" t="s">
        <v>36</v>
      </c>
      <c r="F159" s="10">
        <v>15</v>
      </c>
      <c r="G159" t="s">
        <v>22</v>
      </c>
      <c r="H159" t="s">
        <v>36</v>
      </c>
      <c r="I159" s="10">
        <v>30</v>
      </c>
      <c r="J159" t="s">
        <v>36</v>
      </c>
      <c r="K159" s="10">
        <v>20</v>
      </c>
      <c r="L159" s="10">
        <v>3</v>
      </c>
      <c r="M159" s="10">
        <v>62</v>
      </c>
    </row>
    <row r="160" spans="1:13" x14ac:dyDescent="0.25">
      <c r="A160">
        <v>3389</v>
      </c>
      <c r="B160" t="s">
        <v>195</v>
      </c>
      <c r="C160" t="s">
        <v>18</v>
      </c>
      <c r="D160" s="8">
        <v>45506</v>
      </c>
      <c r="E160" t="s">
        <v>38</v>
      </c>
      <c r="F160" s="10">
        <v>10</v>
      </c>
      <c r="G160" t="s">
        <v>20</v>
      </c>
      <c r="H160" t="s">
        <v>38</v>
      </c>
      <c r="I160" t="s">
        <v>39</v>
      </c>
      <c r="J160" t="s">
        <v>36</v>
      </c>
      <c r="K160" s="10">
        <v>20</v>
      </c>
      <c r="L160" s="10">
        <v>10</v>
      </c>
      <c r="M160" s="10">
        <v>20</v>
      </c>
    </row>
    <row r="161" spans="1:13" x14ac:dyDescent="0.25">
      <c r="A161">
        <v>3390</v>
      </c>
      <c r="B161" t="s">
        <v>196</v>
      </c>
      <c r="C161" t="s">
        <v>17</v>
      </c>
      <c r="D161" s="8">
        <v>45507</v>
      </c>
      <c r="E161" t="s">
        <v>36</v>
      </c>
      <c r="F161" s="10">
        <v>5</v>
      </c>
      <c r="G161" t="s">
        <v>21</v>
      </c>
      <c r="H161" t="s">
        <v>38</v>
      </c>
      <c r="I161" t="s">
        <v>39</v>
      </c>
      <c r="J161" t="s">
        <v>38</v>
      </c>
      <c r="K161" s="10">
        <v>0</v>
      </c>
      <c r="L161" s="10">
        <v>0</v>
      </c>
      <c r="M161" s="10">
        <v>5</v>
      </c>
    </row>
    <row r="162" spans="1:13" x14ac:dyDescent="0.25">
      <c r="A162">
        <v>3391</v>
      </c>
      <c r="B162" t="s">
        <v>96</v>
      </c>
      <c r="C162" t="s">
        <v>19</v>
      </c>
      <c r="D162" s="8">
        <v>45508</v>
      </c>
      <c r="E162" t="s">
        <v>38</v>
      </c>
      <c r="F162" s="10">
        <v>15</v>
      </c>
      <c r="G162" t="s">
        <v>20</v>
      </c>
      <c r="H162" t="s">
        <v>36</v>
      </c>
      <c r="I162" s="10">
        <v>30</v>
      </c>
      <c r="J162" t="s">
        <v>36</v>
      </c>
      <c r="K162" s="10">
        <v>20</v>
      </c>
      <c r="L162" s="10">
        <v>15</v>
      </c>
      <c r="M162" s="10">
        <v>50</v>
      </c>
    </row>
    <row r="163" spans="1:13" x14ac:dyDescent="0.25">
      <c r="A163">
        <v>3392</v>
      </c>
      <c r="B163" t="s">
        <v>197</v>
      </c>
      <c r="C163" t="s">
        <v>18</v>
      </c>
      <c r="D163" s="8">
        <v>45509</v>
      </c>
      <c r="E163" t="s">
        <v>36</v>
      </c>
      <c r="F163" s="10">
        <v>10</v>
      </c>
      <c r="G163" t="s">
        <v>22</v>
      </c>
      <c r="H163" t="s">
        <v>38</v>
      </c>
      <c r="I163" t="s">
        <v>39</v>
      </c>
      <c r="J163" t="s">
        <v>36</v>
      </c>
      <c r="K163" s="10">
        <v>20</v>
      </c>
      <c r="L163" s="10">
        <v>15</v>
      </c>
      <c r="M163" s="10">
        <v>15</v>
      </c>
    </row>
    <row r="164" spans="1:13" x14ac:dyDescent="0.25">
      <c r="A164">
        <v>3393</v>
      </c>
      <c r="B164" t="s">
        <v>198</v>
      </c>
      <c r="C164" t="s">
        <v>17</v>
      </c>
      <c r="D164" s="8">
        <v>45510</v>
      </c>
      <c r="E164" t="s">
        <v>38</v>
      </c>
      <c r="F164" s="10">
        <v>5</v>
      </c>
      <c r="G164" t="s">
        <v>20</v>
      </c>
      <c r="H164" t="s">
        <v>38</v>
      </c>
      <c r="I164" t="s">
        <v>39</v>
      </c>
      <c r="J164" t="s">
        <v>38</v>
      </c>
      <c r="K164" s="10">
        <v>0</v>
      </c>
      <c r="L164" s="10">
        <v>1</v>
      </c>
      <c r="M164" s="10">
        <v>4</v>
      </c>
    </row>
    <row r="165" spans="1:13" x14ac:dyDescent="0.25">
      <c r="A165">
        <v>3394</v>
      </c>
      <c r="B165" t="s">
        <v>199</v>
      </c>
      <c r="C165" t="s">
        <v>19</v>
      </c>
      <c r="D165" s="8">
        <v>45511</v>
      </c>
      <c r="E165" t="s">
        <v>36</v>
      </c>
      <c r="F165" s="10">
        <v>15</v>
      </c>
      <c r="G165" t="s">
        <v>21</v>
      </c>
      <c r="H165" t="s">
        <v>36</v>
      </c>
      <c r="I165" s="10">
        <v>30</v>
      </c>
      <c r="J165" t="s">
        <v>36</v>
      </c>
      <c r="K165" s="10">
        <v>20</v>
      </c>
      <c r="L165" s="10">
        <v>7</v>
      </c>
      <c r="M165" s="10">
        <v>58</v>
      </c>
    </row>
    <row r="166" spans="1:13" x14ac:dyDescent="0.25">
      <c r="A166">
        <v>3395</v>
      </c>
      <c r="B166" t="s">
        <v>200</v>
      </c>
      <c r="C166" t="s">
        <v>18</v>
      </c>
      <c r="D166" s="8">
        <v>45512</v>
      </c>
      <c r="E166" t="s">
        <v>38</v>
      </c>
      <c r="F166" s="10">
        <v>10</v>
      </c>
      <c r="G166" t="s">
        <v>20</v>
      </c>
      <c r="H166" t="s">
        <v>38</v>
      </c>
      <c r="I166" t="s">
        <v>39</v>
      </c>
      <c r="J166" t="s">
        <v>36</v>
      </c>
      <c r="K166" s="10">
        <v>20</v>
      </c>
      <c r="L166" s="10">
        <v>10</v>
      </c>
      <c r="M166" s="10">
        <v>20</v>
      </c>
    </row>
    <row r="167" spans="1:13" x14ac:dyDescent="0.25">
      <c r="A167">
        <v>3396</v>
      </c>
      <c r="B167" t="s">
        <v>201</v>
      </c>
      <c r="C167" t="s">
        <v>17</v>
      </c>
      <c r="D167" s="8">
        <v>45513</v>
      </c>
      <c r="E167" t="s">
        <v>36</v>
      </c>
      <c r="F167" s="10">
        <v>5</v>
      </c>
      <c r="G167" t="s">
        <v>22</v>
      </c>
      <c r="H167" t="s">
        <v>38</v>
      </c>
      <c r="I167" t="s">
        <v>39</v>
      </c>
      <c r="J167" t="s">
        <v>38</v>
      </c>
      <c r="K167" s="10">
        <v>0</v>
      </c>
      <c r="L167" s="10">
        <v>0</v>
      </c>
      <c r="M167" s="10">
        <v>5</v>
      </c>
    </row>
    <row r="168" spans="1:13" x14ac:dyDescent="0.25">
      <c r="A168">
        <v>3397</v>
      </c>
      <c r="B168" t="s">
        <v>128</v>
      </c>
      <c r="C168" t="s">
        <v>19</v>
      </c>
      <c r="D168" s="8">
        <v>45514</v>
      </c>
      <c r="E168" t="s">
        <v>38</v>
      </c>
      <c r="F168" s="10">
        <v>15</v>
      </c>
      <c r="G168" t="s">
        <v>20</v>
      </c>
      <c r="H168" t="s">
        <v>36</v>
      </c>
      <c r="I168" s="10">
        <v>30</v>
      </c>
      <c r="J168" t="s">
        <v>36</v>
      </c>
      <c r="K168" s="10">
        <v>20</v>
      </c>
      <c r="L168" s="10">
        <v>20</v>
      </c>
      <c r="M168" s="10">
        <v>45</v>
      </c>
    </row>
    <row r="169" spans="1:13" x14ac:dyDescent="0.25">
      <c r="A169">
        <v>3398</v>
      </c>
      <c r="B169" t="s">
        <v>202</v>
      </c>
      <c r="C169" t="s">
        <v>18</v>
      </c>
      <c r="D169" s="8">
        <v>45515</v>
      </c>
      <c r="E169" t="s">
        <v>36</v>
      </c>
      <c r="F169" s="10">
        <v>10</v>
      </c>
      <c r="G169" t="s">
        <v>21</v>
      </c>
      <c r="H169" t="s">
        <v>38</v>
      </c>
      <c r="I169" t="s">
        <v>39</v>
      </c>
      <c r="J169" t="s">
        <v>36</v>
      </c>
      <c r="K169" s="10">
        <v>20</v>
      </c>
      <c r="L169" s="10">
        <v>15</v>
      </c>
      <c r="M169" s="10">
        <v>15</v>
      </c>
    </row>
    <row r="170" spans="1:13" x14ac:dyDescent="0.25">
      <c r="A170">
        <v>3399</v>
      </c>
      <c r="B170" t="s">
        <v>203</v>
      </c>
      <c r="C170" t="s">
        <v>17</v>
      </c>
      <c r="D170" s="8">
        <v>45516</v>
      </c>
      <c r="E170" t="s">
        <v>38</v>
      </c>
      <c r="F170" s="10">
        <v>5</v>
      </c>
      <c r="G170" t="s">
        <v>20</v>
      </c>
      <c r="H170" t="s">
        <v>38</v>
      </c>
      <c r="I170" t="s">
        <v>39</v>
      </c>
      <c r="J170" t="s">
        <v>38</v>
      </c>
      <c r="K170" s="10">
        <v>0</v>
      </c>
      <c r="L170" s="10">
        <v>1</v>
      </c>
      <c r="M170" s="10">
        <v>4</v>
      </c>
    </row>
    <row r="171" spans="1:13" x14ac:dyDescent="0.25">
      <c r="A171">
        <v>3400</v>
      </c>
      <c r="B171" t="s">
        <v>204</v>
      </c>
      <c r="C171" t="s">
        <v>19</v>
      </c>
      <c r="D171" s="8">
        <v>45517</v>
      </c>
      <c r="E171" t="s">
        <v>36</v>
      </c>
      <c r="F171" s="10">
        <v>15</v>
      </c>
      <c r="G171" t="s">
        <v>22</v>
      </c>
      <c r="H171" t="s">
        <v>36</v>
      </c>
      <c r="I171" s="10">
        <v>30</v>
      </c>
      <c r="J171" t="s">
        <v>36</v>
      </c>
      <c r="K171" s="10">
        <v>20</v>
      </c>
      <c r="L171" s="10">
        <v>5</v>
      </c>
      <c r="M171" s="10">
        <v>60</v>
      </c>
    </row>
    <row r="172" spans="1:13" x14ac:dyDescent="0.25">
      <c r="A172">
        <v>3401</v>
      </c>
      <c r="B172" t="s">
        <v>205</v>
      </c>
      <c r="C172" t="s">
        <v>18</v>
      </c>
      <c r="D172" s="8">
        <v>45518</v>
      </c>
      <c r="E172" t="s">
        <v>38</v>
      </c>
      <c r="F172" s="10">
        <v>10</v>
      </c>
      <c r="G172" t="s">
        <v>20</v>
      </c>
      <c r="H172" t="s">
        <v>38</v>
      </c>
      <c r="I172" t="s">
        <v>39</v>
      </c>
      <c r="J172" t="s">
        <v>36</v>
      </c>
      <c r="K172" s="10">
        <v>20</v>
      </c>
      <c r="L172" s="10">
        <v>10</v>
      </c>
      <c r="M172" s="10">
        <v>20</v>
      </c>
    </row>
    <row r="173" spans="1:13" x14ac:dyDescent="0.25">
      <c r="A173">
        <v>3402</v>
      </c>
      <c r="B173" t="s">
        <v>206</v>
      </c>
      <c r="C173" t="s">
        <v>17</v>
      </c>
      <c r="D173" s="8">
        <v>45519</v>
      </c>
      <c r="E173" t="s">
        <v>36</v>
      </c>
      <c r="F173" s="10">
        <v>5</v>
      </c>
      <c r="G173" t="s">
        <v>21</v>
      </c>
      <c r="H173" t="s">
        <v>38</v>
      </c>
      <c r="I173" t="s">
        <v>39</v>
      </c>
      <c r="J173" t="s">
        <v>38</v>
      </c>
      <c r="K173" s="10">
        <v>0</v>
      </c>
      <c r="L173" s="10">
        <v>0</v>
      </c>
      <c r="M173" s="10">
        <v>5</v>
      </c>
    </row>
    <row r="174" spans="1:13" x14ac:dyDescent="0.25">
      <c r="A174">
        <v>3403</v>
      </c>
      <c r="B174" t="s">
        <v>207</v>
      </c>
      <c r="C174" t="s">
        <v>19</v>
      </c>
      <c r="D174" s="8">
        <v>45520</v>
      </c>
      <c r="E174" t="s">
        <v>38</v>
      </c>
      <c r="F174" s="10">
        <v>15</v>
      </c>
      <c r="G174" t="s">
        <v>20</v>
      </c>
      <c r="H174" t="s">
        <v>36</v>
      </c>
      <c r="I174" s="10">
        <v>30</v>
      </c>
      <c r="J174" t="s">
        <v>36</v>
      </c>
      <c r="K174" s="10">
        <v>20</v>
      </c>
      <c r="L174" s="10">
        <v>3</v>
      </c>
      <c r="M174" s="10">
        <v>62</v>
      </c>
    </row>
    <row r="175" spans="1:13" x14ac:dyDescent="0.25">
      <c r="A175">
        <v>3404</v>
      </c>
      <c r="B175" t="s">
        <v>208</v>
      </c>
      <c r="C175" t="s">
        <v>18</v>
      </c>
      <c r="D175" s="8">
        <v>45521</v>
      </c>
      <c r="E175" t="s">
        <v>36</v>
      </c>
      <c r="F175" s="10">
        <v>10</v>
      </c>
      <c r="G175" t="s">
        <v>22</v>
      </c>
      <c r="H175" t="s">
        <v>38</v>
      </c>
      <c r="I175" t="s">
        <v>39</v>
      </c>
      <c r="J175" t="s">
        <v>36</v>
      </c>
      <c r="K175" s="10">
        <v>20</v>
      </c>
      <c r="L175" s="10">
        <v>15</v>
      </c>
      <c r="M175" s="10">
        <v>15</v>
      </c>
    </row>
    <row r="176" spans="1:13" x14ac:dyDescent="0.25">
      <c r="A176">
        <v>3405</v>
      </c>
      <c r="B176" t="s">
        <v>209</v>
      </c>
      <c r="C176" t="s">
        <v>17</v>
      </c>
      <c r="D176" s="8">
        <v>45522</v>
      </c>
      <c r="E176" t="s">
        <v>38</v>
      </c>
      <c r="F176" s="10">
        <v>5</v>
      </c>
      <c r="G176" t="s">
        <v>20</v>
      </c>
      <c r="H176" t="s">
        <v>38</v>
      </c>
      <c r="I176" t="s">
        <v>39</v>
      </c>
      <c r="J176" t="s">
        <v>38</v>
      </c>
      <c r="K176" s="10">
        <v>0</v>
      </c>
      <c r="L176" s="10">
        <v>1</v>
      </c>
      <c r="M176" s="10">
        <v>4</v>
      </c>
    </row>
    <row r="177" spans="1:13" x14ac:dyDescent="0.25">
      <c r="A177">
        <v>3406</v>
      </c>
      <c r="B177" t="s">
        <v>210</v>
      </c>
      <c r="C177" t="s">
        <v>17</v>
      </c>
      <c r="D177" s="8">
        <v>45523</v>
      </c>
      <c r="E177" t="s">
        <v>36</v>
      </c>
      <c r="F177" s="10">
        <v>5</v>
      </c>
      <c r="G177" t="s">
        <v>20</v>
      </c>
      <c r="H177" t="s">
        <v>38</v>
      </c>
      <c r="I177" t="s">
        <v>39</v>
      </c>
      <c r="J177" t="s">
        <v>38</v>
      </c>
      <c r="K177" s="10">
        <v>0</v>
      </c>
      <c r="L177" s="10">
        <v>0</v>
      </c>
      <c r="M177" s="10">
        <v>5</v>
      </c>
    </row>
    <row r="178" spans="1:13" x14ac:dyDescent="0.25">
      <c r="A178">
        <v>3407</v>
      </c>
      <c r="B178" t="s">
        <v>211</v>
      </c>
      <c r="C178" t="s">
        <v>19</v>
      </c>
      <c r="D178" s="8">
        <v>45524</v>
      </c>
      <c r="E178" t="s">
        <v>38</v>
      </c>
      <c r="F178" s="10">
        <v>15</v>
      </c>
      <c r="G178" t="s">
        <v>21</v>
      </c>
      <c r="H178" t="s">
        <v>36</v>
      </c>
      <c r="I178" s="10">
        <v>30</v>
      </c>
      <c r="J178" t="s">
        <v>36</v>
      </c>
      <c r="K178" s="10">
        <v>20</v>
      </c>
      <c r="L178" s="10">
        <v>7</v>
      </c>
      <c r="M178" s="10">
        <v>58</v>
      </c>
    </row>
    <row r="179" spans="1:13" x14ac:dyDescent="0.25">
      <c r="A179">
        <v>3408</v>
      </c>
      <c r="B179" t="s">
        <v>212</v>
      </c>
      <c r="C179" t="s">
        <v>18</v>
      </c>
      <c r="D179" s="8">
        <v>45525</v>
      </c>
      <c r="E179" t="s">
        <v>36</v>
      </c>
      <c r="F179" s="10">
        <v>10</v>
      </c>
      <c r="G179" t="s">
        <v>22</v>
      </c>
      <c r="H179" t="s">
        <v>38</v>
      </c>
      <c r="I179" t="s">
        <v>39</v>
      </c>
      <c r="J179" t="s">
        <v>36</v>
      </c>
      <c r="K179" s="10">
        <v>20</v>
      </c>
      <c r="L179" s="10">
        <v>10</v>
      </c>
      <c r="M179" s="10">
        <v>20</v>
      </c>
    </row>
    <row r="180" spans="1:13" x14ac:dyDescent="0.25">
      <c r="A180">
        <v>3409</v>
      </c>
      <c r="B180" t="s">
        <v>213</v>
      </c>
      <c r="C180" t="s">
        <v>17</v>
      </c>
      <c r="D180" s="8">
        <v>45526</v>
      </c>
      <c r="E180" t="s">
        <v>38</v>
      </c>
      <c r="F180" s="10">
        <v>5</v>
      </c>
      <c r="G180" t="s">
        <v>21</v>
      </c>
      <c r="H180" t="s">
        <v>38</v>
      </c>
      <c r="I180" t="s">
        <v>39</v>
      </c>
      <c r="J180" t="s">
        <v>38</v>
      </c>
      <c r="K180" s="10">
        <v>0</v>
      </c>
      <c r="L180" s="10">
        <v>1</v>
      </c>
      <c r="M180" s="10">
        <v>4</v>
      </c>
    </row>
    <row r="181" spans="1:13" x14ac:dyDescent="0.25">
      <c r="A181">
        <v>3410</v>
      </c>
      <c r="B181" t="s">
        <v>214</v>
      </c>
      <c r="C181" t="s">
        <v>19</v>
      </c>
      <c r="D181" s="8">
        <v>45527</v>
      </c>
      <c r="E181" t="s">
        <v>36</v>
      </c>
      <c r="F181" s="10">
        <v>15</v>
      </c>
      <c r="G181" t="s">
        <v>20</v>
      </c>
      <c r="H181" t="s">
        <v>36</v>
      </c>
      <c r="I181" s="10">
        <v>30</v>
      </c>
      <c r="J181" t="s">
        <v>36</v>
      </c>
      <c r="K181" s="10">
        <v>20</v>
      </c>
      <c r="L181" s="10">
        <v>15</v>
      </c>
      <c r="M181" s="10">
        <v>50</v>
      </c>
    </row>
    <row r="182" spans="1:13" x14ac:dyDescent="0.25">
      <c r="A182">
        <v>3411</v>
      </c>
      <c r="B182" t="s">
        <v>215</v>
      </c>
      <c r="C182" t="s">
        <v>18</v>
      </c>
      <c r="D182" s="8">
        <v>45528</v>
      </c>
      <c r="E182" t="s">
        <v>38</v>
      </c>
      <c r="F182" s="10">
        <v>10</v>
      </c>
      <c r="G182" t="s">
        <v>20</v>
      </c>
      <c r="H182" t="s">
        <v>38</v>
      </c>
      <c r="I182" t="s">
        <v>39</v>
      </c>
      <c r="J182" t="s">
        <v>36</v>
      </c>
      <c r="K182" s="10">
        <v>20</v>
      </c>
      <c r="L182" s="10">
        <v>5</v>
      </c>
      <c r="M182" s="10">
        <v>25</v>
      </c>
    </row>
    <row r="183" spans="1:13" x14ac:dyDescent="0.25">
      <c r="A183">
        <v>3412</v>
      </c>
      <c r="B183" t="s">
        <v>216</v>
      </c>
      <c r="C183" t="s">
        <v>17</v>
      </c>
      <c r="D183" s="8">
        <v>45529</v>
      </c>
      <c r="E183" t="s">
        <v>36</v>
      </c>
      <c r="F183" s="10">
        <v>5</v>
      </c>
      <c r="G183" t="s">
        <v>22</v>
      </c>
      <c r="H183" t="s">
        <v>38</v>
      </c>
      <c r="I183" t="s">
        <v>39</v>
      </c>
      <c r="J183" t="s">
        <v>38</v>
      </c>
      <c r="K183" s="10">
        <v>0</v>
      </c>
      <c r="L183" s="10">
        <v>0</v>
      </c>
      <c r="M183" s="10">
        <v>5</v>
      </c>
    </row>
    <row r="184" spans="1:13" x14ac:dyDescent="0.25">
      <c r="A184">
        <v>3413</v>
      </c>
      <c r="B184" t="s">
        <v>217</v>
      </c>
      <c r="C184" t="s">
        <v>19</v>
      </c>
      <c r="D184" s="8">
        <v>45530</v>
      </c>
      <c r="E184" t="s">
        <v>38</v>
      </c>
      <c r="F184" s="10">
        <v>15</v>
      </c>
      <c r="G184" t="s">
        <v>21</v>
      </c>
      <c r="H184" t="s">
        <v>36</v>
      </c>
      <c r="I184" s="10">
        <v>30</v>
      </c>
      <c r="J184" t="s">
        <v>36</v>
      </c>
      <c r="K184" s="10">
        <v>20</v>
      </c>
      <c r="L184" s="10">
        <v>20</v>
      </c>
      <c r="M184" s="10">
        <v>45</v>
      </c>
    </row>
    <row r="185" spans="1:13" x14ac:dyDescent="0.25">
      <c r="A185">
        <v>3414</v>
      </c>
      <c r="B185" t="s">
        <v>218</v>
      </c>
      <c r="C185" t="s">
        <v>18</v>
      </c>
      <c r="D185" s="8">
        <v>45531</v>
      </c>
      <c r="E185" t="s">
        <v>36</v>
      </c>
      <c r="F185" s="10">
        <v>10</v>
      </c>
      <c r="G185" t="s">
        <v>21</v>
      </c>
      <c r="H185" t="s">
        <v>38</v>
      </c>
      <c r="I185" t="s">
        <v>39</v>
      </c>
      <c r="J185" t="s">
        <v>36</v>
      </c>
      <c r="K185" s="10">
        <v>20</v>
      </c>
      <c r="L185" s="10">
        <v>12</v>
      </c>
      <c r="M185" s="10">
        <v>18</v>
      </c>
    </row>
    <row r="186" spans="1:13" x14ac:dyDescent="0.25">
      <c r="A186">
        <v>3415</v>
      </c>
      <c r="B186" t="s">
        <v>219</v>
      </c>
      <c r="C186" t="s">
        <v>17</v>
      </c>
      <c r="D186" s="8">
        <v>45532</v>
      </c>
      <c r="E186" t="s">
        <v>38</v>
      </c>
      <c r="F186" s="10">
        <v>5</v>
      </c>
      <c r="G186" t="s">
        <v>20</v>
      </c>
      <c r="H186" t="s">
        <v>38</v>
      </c>
      <c r="I186" t="s">
        <v>39</v>
      </c>
      <c r="J186" t="s">
        <v>38</v>
      </c>
      <c r="K186" s="10">
        <v>0</v>
      </c>
      <c r="L186" s="10">
        <v>2</v>
      </c>
      <c r="M186" s="10">
        <v>3</v>
      </c>
    </row>
    <row r="187" spans="1:13" x14ac:dyDescent="0.25">
      <c r="A187">
        <v>3416</v>
      </c>
      <c r="B187" t="s">
        <v>220</v>
      </c>
      <c r="C187" t="s">
        <v>19</v>
      </c>
      <c r="D187" s="8">
        <v>45533</v>
      </c>
      <c r="E187" t="s">
        <v>36</v>
      </c>
      <c r="F187" s="10">
        <v>15</v>
      </c>
      <c r="G187" t="s">
        <v>22</v>
      </c>
      <c r="H187" t="s">
        <v>36</v>
      </c>
      <c r="I187" s="10">
        <v>30</v>
      </c>
      <c r="J187" t="s">
        <v>36</v>
      </c>
      <c r="K187" s="10">
        <v>20</v>
      </c>
      <c r="L187" s="10">
        <v>5</v>
      </c>
      <c r="M187" s="10">
        <v>60</v>
      </c>
    </row>
    <row r="188" spans="1:13" x14ac:dyDescent="0.25">
      <c r="A188">
        <v>3417</v>
      </c>
      <c r="B188" t="s">
        <v>221</v>
      </c>
      <c r="C188" t="s">
        <v>18</v>
      </c>
      <c r="D188" s="8">
        <v>45534</v>
      </c>
      <c r="E188" t="s">
        <v>38</v>
      </c>
      <c r="F188" s="10">
        <v>10</v>
      </c>
      <c r="G188" t="s">
        <v>20</v>
      </c>
      <c r="H188" t="s">
        <v>38</v>
      </c>
      <c r="I188" t="s">
        <v>39</v>
      </c>
      <c r="J188" t="s">
        <v>36</v>
      </c>
      <c r="K188" s="10">
        <v>20</v>
      </c>
      <c r="L188" s="10">
        <v>10</v>
      </c>
      <c r="M188" s="10">
        <v>20</v>
      </c>
    </row>
    <row r="189" spans="1:13" x14ac:dyDescent="0.25">
      <c r="A189">
        <v>3418</v>
      </c>
      <c r="B189" t="s">
        <v>222</v>
      </c>
      <c r="C189" t="s">
        <v>17</v>
      </c>
      <c r="D189" s="8">
        <v>45535</v>
      </c>
      <c r="E189" t="s">
        <v>36</v>
      </c>
      <c r="F189" s="10">
        <v>5</v>
      </c>
      <c r="G189" t="s">
        <v>21</v>
      </c>
      <c r="H189" t="s">
        <v>38</v>
      </c>
      <c r="I189" t="s">
        <v>39</v>
      </c>
      <c r="J189" t="s">
        <v>38</v>
      </c>
      <c r="K189" s="10">
        <v>0</v>
      </c>
      <c r="L189" s="10">
        <v>0</v>
      </c>
      <c r="M189" s="10">
        <v>5</v>
      </c>
    </row>
    <row r="190" spans="1:13" x14ac:dyDescent="0.25">
      <c r="A190">
        <v>3419</v>
      </c>
      <c r="B190" t="s">
        <v>223</v>
      </c>
      <c r="C190" t="s">
        <v>19</v>
      </c>
      <c r="D190" s="8">
        <v>45536</v>
      </c>
      <c r="E190" t="s">
        <v>38</v>
      </c>
      <c r="F190" s="10">
        <v>15</v>
      </c>
      <c r="G190" t="s">
        <v>20</v>
      </c>
      <c r="H190" t="s">
        <v>36</v>
      </c>
      <c r="I190" s="10">
        <v>30</v>
      </c>
      <c r="J190" t="s">
        <v>36</v>
      </c>
      <c r="K190" s="10">
        <v>20</v>
      </c>
      <c r="L190" s="10">
        <v>3</v>
      </c>
      <c r="M190" s="10">
        <v>62</v>
      </c>
    </row>
    <row r="191" spans="1:13" x14ac:dyDescent="0.25">
      <c r="A191">
        <v>3420</v>
      </c>
      <c r="B191" t="s">
        <v>224</v>
      </c>
      <c r="C191" t="s">
        <v>18</v>
      </c>
      <c r="D191" s="8">
        <v>45537</v>
      </c>
      <c r="E191" t="s">
        <v>36</v>
      </c>
      <c r="F191" s="10">
        <v>10</v>
      </c>
      <c r="G191" t="s">
        <v>22</v>
      </c>
      <c r="H191" t="s">
        <v>38</v>
      </c>
      <c r="I191" t="s">
        <v>39</v>
      </c>
      <c r="J191" t="s">
        <v>36</v>
      </c>
      <c r="K191" s="10">
        <v>20</v>
      </c>
      <c r="L191" s="10">
        <v>15</v>
      </c>
      <c r="M191" s="10">
        <v>15</v>
      </c>
    </row>
    <row r="192" spans="1:13" x14ac:dyDescent="0.25">
      <c r="A192">
        <v>3421</v>
      </c>
      <c r="B192" t="s">
        <v>53</v>
      </c>
      <c r="C192" t="s">
        <v>17</v>
      </c>
      <c r="D192" s="8">
        <v>45538</v>
      </c>
      <c r="E192" t="s">
        <v>38</v>
      </c>
      <c r="F192" s="10">
        <v>5</v>
      </c>
      <c r="G192" t="s">
        <v>20</v>
      </c>
      <c r="H192" t="s">
        <v>38</v>
      </c>
      <c r="I192" t="s">
        <v>39</v>
      </c>
      <c r="J192" t="s">
        <v>38</v>
      </c>
      <c r="K192" s="10">
        <v>0</v>
      </c>
      <c r="L192" s="10">
        <v>1</v>
      </c>
      <c r="M192" s="10">
        <v>4</v>
      </c>
    </row>
    <row r="193" spans="1:13" x14ac:dyDescent="0.25">
      <c r="A193">
        <v>3422</v>
      </c>
      <c r="B193" t="s">
        <v>225</v>
      </c>
      <c r="C193" t="s">
        <v>19</v>
      </c>
      <c r="D193" s="8">
        <v>45539</v>
      </c>
      <c r="E193" t="s">
        <v>36</v>
      </c>
      <c r="F193" s="10">
        <v>15</v>
      </c>
      <c r="G193" t="s">
        <v>21</v>
      </c>
      <c r="H193" t="s">
        <v>36</v>
      </c>
      <c r="I193" s="10">
        <v>30</v>
      </c>
      <c r="J193" t="s">
        <v>36</v>
      </c>
      <c r="K193" s="10">
        <v>20</v>
      </c>
      <c r="L193" s="10">
        <v>7</v>
      </c>
      <c r="M193" s="10">
        <v>58</v>
      </c>
    </row>
    <row r="194" spans="1:13" x14ac:dyDescent="0.25">
      <c r="A194">
        <v>3423</v>
      </c>
      <c r="B194" t="s">
        <v>226</v>
      </c>
      <c r="C194" t="s">
        <v>18</v>
      </c>
      <c r="D194" s="8">
        <v>45540</v>
      </c>
      <c r="E194" t="s">
        <v>38</v>
      </c>
      <c r="F194" s="10">
        <v>10</v>
      </c>
      <c r="G194" t="s">
        <v>20</v>
      </c>
      <c r="H194" t="s">
        <v>38</v>
      </c>
      <c r="I194" t="s">
        <v>39</v>
      </c>
      <c r="J194" t="s">
        <v>36</v>
      </c>
      <c r="K194" s="10">
        <v>20</v>
      </c>
      <c r="L194" s="10">
        <v>10</v>
      </c>
      <c r="M194" s="10">
        <v>20</v>
      </c>
    </row>
    <row r="195" spans="1:13" x14ac:dyDescent="0.25">
      <c r="A195">
        <v>3424</v>
      </c>
      <c r="B195" t="s">
        <v>52</v>
      </c>
      <c r="C195" t="s">
        <v>17</v>
      </c>
      <c r="D195" s="8">
        <v>45541</v>
      </c>
      <c r="E195" t="s">
        <v>36</v>
      </c>
      <c r="F195" s="10">
        <v>5</v>
      </c>
      <c r="G195" t="s">
        <v>22</v>
      </c>
      <c r="H195" t="s">
        <v>38</v>
      </c>
      <c r="I195" t="s">
        <v>39</v>
      </c>
      <c r="J195" t="s">
        <v>38</v>
      </c>
      <c r="K195" s="10">
        <v>0</v>
      </c>
      <c r="L195" s="10">
        <v>0</v>
      </c>
      <c r="M195" s="10">
        <v>5</v>
      </c>
    </row>
    <row r="196" spans="1:13" x14ac:dyDescent="0.25">
      <c r="A196">
        <v>3425</v>
      </c>
      <c r="B196" t="s">
        <v>227</v>
      </c>
      <c r="C196" t="s">
        <v>19</v>
      </c>
      <c r="D196" s="8">
        <v>45542</v>
      </c>
      <c r="E196" t="s">
        <v>38</v>
      </c>
      <c r="F196" s="10">
        <v>15</v>
      </c>
      <c r="G196" t="s">
        <v>20</v>
      </c>
      <c r="H196" t="s">
        <v>36</v>
      </c>
      <c r="I196" s="10">
        <v>30</v>
      </c>
      <c r="J196" t="s">
        <v>36</v>
      </c>
      <c r="K196" s="10">
        <v>20</v>
      </c>
      <c r="L196" s="10">
        <v>20</v>
      </c>
      <c r="M196" s="10">
        <v>45</v>
      </c>
    </row>
    <row r="197" spans="1:13" x14ac:dyDescent="0.25">
      <c r="A197">
        <v>3426</v>
      </c>
      <c r="B197" t="s">
        <v>205</v>
      </c>
      <c r="C197" t="s">
        <v>18</v>
      </c>
      <c r="D197" s="8">
        <v>45543</v>
      </c>
      <c r="E197" t="s">
        <v>36</v>
      </c>
      <c r="F197" s="10">
        <v>10</v>
      </c>
      <c r="G197" t="s">
        <v>21</v>
      </c>
      <c r="H197" t="s">
        <v>38</v>
      </c>
      <c r="I197" t="s">
        <v>39</v>
      </c>
      <c r="J197" t="s">
        <v>36</v>
      </c>
      <c r="K197" s="10">
        <v>20</v>
      </c>
      <c r="L197" s="10">
        <v>15</v>
      </c>
      <c r="M197" s="10">
        <v>15</v>
      </c>
    </row>
    <row r="198" spans="1:13" x14ac:dyDescent="0.25">
      <c r="A198">
        <v>3427</v>
      </c>
      <c r="B198" t="s">
        <v>228</v>
      </c>
      <c r="C198" t="s">
        <v>17</v>
      </c>
      <c r="D198" s="8">
        <v>45544</v>
      </c>
      <c r="E198" t="s">
        <v>38</v>
      </c>
      <c r="F198" s="10">
        <v>5</v>
      </c>
      <c r="G198" t="s">
        <v>20</v>
      </c>
      <c r="H198" t="s">
        <v>38</v>
      </c>
      <c r="I198" t="s">
        <v>39</v>
      </c>
      <c r="J198" t="s">
        <v>38</v>
      </c>
      <c r="K198" s="10">
        <v>0</v>
      </c>
      <c r="L198" s="10">
        <v>1</v>
      </c>
      <c r="M198" s="10">
        <v>4</v>
      </c>
    </row>
    <row r="199" spans="1:13" x14ac:dyDescent="0.25">
      <c r="A199">
        <v>3428</v>
      </c>
      <c r="B199" t="s">
        <v>229</v>
      </c>
      <c r="C199" t="s">
        <v>19</v>
      </c>
      <c r="D199" s="8">
        <v>45545</v>
      </c>
      <c r="E199" t="s">
        <v>36</v>
      </c>
      <c r="F199" s="10">
        <v>15</v>
      </c>
      <c r="G199" t="s">
        <v>22</v>
      </c>
      <c r="H199" t="s">
        <v>36</v>
      </c>
      <c r="I199" s="10">
        <v>30</v>
      </c>
      <c r="J199" t="s">
        <v>36</v>
      </c>
      <c r="K199" s="10">
        <v>20</v>
      </c>
      <c r="L199" s="10">
        <v>3</v>
      </c>
      <c r="M199" s="10">
        <v>62</v>
      </c>
    </row>
    <row r="200" spans="1:13" x14ac:dyDescent="0.25">
      <c r="A200">
        <v>3429</v>
      </c>
      <c r="B200" t="s">
        <v>230</v>
      </c>
      <c r="C200" t="s">
        <v>18</v>
      </c>
      <c r="D200" s="8">
        <v>45546</v>
      </c>
      <c r="E200" t="s">
        <v>38</v>
      </c>
      <c r="F200" s="10">
        <v>10</v>
      </c>
      <c r="G200" t="s">
        <v>20</v>
      </c>
      <c r="H200" t="s">
        <v>38</v>
      </c>
      <c r="I200" t="s">
        <v>39</v>
      </c>
      <c r="J200" t="s">
        <v>36</v>
      </c>
      <c r="K200" s="10">
        <v>20</v>
      </c>
      <c r="L200" s="10">
        <v>10</v>
      </c>
      <c r="M200" s="10">
        <v>20</v>
      </c>
    </row>
    <row r="201" spans="1:13" x14ac:dyDescent="0.25">
      <c r="A201">
        <v>3430</v>
      </c>
      <c r="B201" t="s">
        <v>231</v>
      </c>
      <c r="C201" t="s">
        <v>17</v>
      </c>
      <c r="D201" s="8">
        <v>45547</v>
      </c>
      <c r="E201" t="s">
        <v>36</v>
      </c>
      <c r="F201" s="10">
        <v>5</v>
      </c>
      <c r="G201" t="s">
        <v>21</v>
      </c>
      <c r="H201" t="s">
        <v>38</v>
      </c>
      <c r="I201" t="s">
        <v>39</v>
      </c>
      <c r="J201" t="s">
        <v>38</v>
      </c>
      <c r="K201" s="10">
        <v>0</v>
      </c>
      <c r="L201" s="10">
        <v>0</v>
      </c>
      <c r="M201" s="10">
        <v>5</v>
      </c>
    </row>
    <row r="202" spans="1:13" x14ac:dyDescent="0.25">
      <c r="A202">
        <v>3431</v>
      </c>
      <c r="B202" t="s">
        <v>232</v>
      </c>
      <c r="C202" t="s">
        <v>19</v>
      </c>
      <c r="D202" s="8">
        <v>45548</v>
      </c>
      <c r="E202" t="s">
        <v>38</v>
      </c>
      <c r="F202" s="10">
        <v>15</v>
      </c>
      <c r="G202" t="s">
        <v>20</v>
      </c>
      <c r="H202" t="s">
        <v>36</v>
      </c>
      <c r="I202" s="10">
        <v>30</v>
      </c>
      <c r="J202" t="s">
        <v>36</v>
      </c>
      <c r="K202" s="10">
        <v>20</v>
      </c>
      <c r="L202" s="10">
        <v>15</v>
      </c>
      <c r="M202" s="10">
        <v>50</v>
      </c>
    </row>
    <row r="203" spans="1:13" x14ac:dyDescent="0.25">
      <c r="A203">
        <v>3432</v>
      </c>
      <c r="B203" t="s">
        <v>233</v>
      </c>
      <c r="C203" t="s">
        <v>18</v>
      </c>
      <c r="D203" s="8">
        <v>45549</v>
      </c>
      <c r="E203" t="s">
        <v>36</v>
      </c>
      <c r="F203" s="10">
        <v>10</v>
      </c>
      <c r="G203" t="s">
        <v>22</v>
      </c>
      <c r="H203" t="s">
        <v>38</v>
      </c>
      <c r="I203" t="s">
        <v>39</v>
      </c>
      <c r="J203" t="s">
        <v>36</v>
      </c>
      <c r="K203" s="10">
        <v>20</v>
      </c>
      <c r="L203" s="10">
        <v>15</v>
      </c>
      <c r="M203" s="10">
        <v>15</v>
      </c>
    </row>
    <row r="204" spans="1:13" x14ac:dyDescent="0.25">
      <c r="A204">
        <v>3433</v>
      </c>
      <c r="B204" t="s">
        <v>234</v>
      </c>
      <c r="C204" t="s">
        <v>17</v>
      </c>
      <c r="D204" s="8">
        <v>45550</v>
      </c>
      <c r="E204" t="s">
        <v>38</v>
      </c>
      <c r="F204" s="10">
        <v>5</v>
      </c>
      <c r="G204" t="s">
        <v>20</v>
      </c>
      <c r="H204" t="s">
        <v>38</v>
      </c>
      <c r="I204" t="s">
        <v>39</v>
      </c>
      <c r="J204" t="s">
        <v>38</v>
      </c>
      <c r="K204" s="10">
        <v>0</v>
      </c>
      <c r="L204" s="10">
        <v>1</v>
      </c>
      <c r="M204" s="10">
        <v>4</v>
      </c>
    </row>
    <row r="205" spans="1:13" x14ac:dyDescent="0.25">
      <c r="A205">
        <v>3434</v>
      </c>
      <c r="B205" t="s">
        <v>235</v>
      </c>
      <c r="C205" t="s">
        <v>19</v>
      </c>
      <c r="D205" s="8">
        <v>45551</v>
      </c>
      <c r="E205" t="s">
        <v>36</v>
      </c>
      <c r="F205" s="10">
        <v>15</v>
      </c>
      <c r="G205" t="s">
        <v>21</v>
      </c>
      <c r="H205" t="s">
        <v>36</v>
      </c>
      <c r="I205" s="10">
        <v>30</v>
      </c>
      <c r="J205" t="s">
        <v>36</v>
      </c>
      <c r="K205" s="10">
        <v>20</v>
      </c>
      <c r="L205" s="10">
        <v>7</v>
      </c>
      <c r="M205" s="10">
        <v>58</v>
      </c>
    </row>
    <row r="206" spans="1:13" x14ac:dyDescent="0.25">
      <c r="A206">
        <v>3435</v>
      </c>
      <c r="B206" t="s">
        <v>236</v>
      </c>
      <c r="C206" t="s">
        <v>18</v>
      </c>
      <c r="D206" s="8">
        <v>45552</v>
      </c>
      <c r="E206" t="s">
        <v>38</v>
      </c>
      <c r="F206" s="10">
        <v>10</v>
      </c>
      <c r="G206" t="s">
        <v>20</v>
      </c>
      <c r="H206" t="s">
        <v>38</v>
      </c>
      <c r="I206" t="s">
        <v>39</v>
      </c>
      <c r="J206" t="s">
        <v>36</v>
      </c>
      <c r="K206" s="10">
        <v>20</v>
      </c>
      <c r="L206" s="10">
        <v>10</v>
      </c>
      <c r="M206" s="10">
        <v>20</v>
      </c>
    </row>
    <row r="207" spans="1:13" x14ac:dyDescent="0.25">
      <c r="A207">
        <v>3436</v>
      </c>
      <c r="B207" t="s">
        <v>237</v>
      </c>
      <c r="C207" t="s">
        <v>17</v>
      </c>
      <c r="D207" s="8">
        <v>45553</v>
      </c>
      <c r="E207" t="s">
        <v>36</v>
      </c>
      <c r="F207" s="10">
        <v>5</v>
      </c>
      <c r="G207" t="s">
        <v>20</v>
      </c>
      <c r="H207" t="s">
        <v>38</v>
      </c>
      <c r="I207" t="s">
        <v>39</v>
      </c>
      <c r="J207" t="s">
        <v>38</v>
      </c>
      <c r="K207" s="10">
        <v>0</v>
      </c>
      <c r="L207" s="10">
        <v>0</v>
      </c>
      <c r="M207" s="10">
        <v>5</v>
      </c>
    </row>
    <row r="208" spans="1:13" x14ac:dyDescent="0.25">
      <c r="A208">
        <v>3437</v>
      </c>
      <c r="B208" t="s">
        <v>238</v>
      </c>
      <c r="C208" t="s">
        <v>19</v>
      </c>
      <c r="D208" s="8">
        <v>45554</v>
      </c>
      <c r="E208" t="s">
        <v>38</v>
      </c>
      <c r="F208" s="10">
        <v>15</v>
      </c>
      <c r="G208" t="s">
        <v>21</v>
      </c>
      <c r="H208" t="s">
        <v>36</v>
      </c>
      <c r="I208" s="10">
        <v>30</v>
      </c>
      <c r="J208" t="s">
        <v>36</v>
      </c>
      <c r="K208" s="10">
        <v>20</v>
      </c>
      <c r="L208" s="10">
        <v>7</v>
      </c>
      <c r="M208" s="10">
        <v>58</v>
      </c>
    </row>
    <row r="209" spans="1:13" x14ac:dyDescent="0.25">
      <c r="A209">
        <v>3438</v>
      </c>
      <c r="B209" t="s">
        <v>239</v>
      </c>
      <c r="C209" t="s">
        <v>18</v>
      </c>
      <c r="D209" s="8">
        <v>45555</v>
      </c>
      <c r="E209" t="s">
        <v>36</v>
      </c>
      <c r="F209" s="10">
        <v>10</v>
      </c>
      <c r="G209" t="s">
        <v>22</v>
      </c>
      <c r="H209" t="s">
        <v>38</v>
      </c>
      <c r="I209" t="s">
        <v>39</v>
      </c>
      <c r="J209" t="s">
        <v>36</v>
      </c>
      <c r="K209" s="10">
        <v>20</v>
      </c>
      <c r="L209" s="10">
        <v>10</v>
      </c>
      <c r="M209" s="10">
        <v>20</v>
      </c>
    </row>
    <row r="210" spans="1:13" x14ac:dyDescent="0.25">
      <c r="A210">
        <v>3439</v>
      </c>
      <c r="B210" t="s">
        <v>240</v>
      </c>
      <c r="C210" t="s">
        <v>17</v>
      </c>
      <c r="D210" s="8">
        <v>45556</v>
      </c>
      <c r="E210" t="s">
        <v>38</v>
      </c>
      <c r="F210" s="10">
        <v>5</v>
      </c>
      <c r="G210" t="s">
        <v>21</v>
      </c>
      <c r="H210" t="s">
        <v>38</v>
      </c>
      <c r="I210" t="s">
        <v>39</v>
      </c>
      <c r="J210" t="s">
        <v>38</v>
      </c>
      <c r="K210" s="10">
        <v>0</v>
      </c>
      <c r="L210" s="10">
        <v>1</v>
      </c>
      <c r="M210" s="10">
        <v>4</v>
      </c>
    </row>
    <row r="211" spans="1:13" x14ac:dyDescent="0.25">
      <c r="A211">
        <v>3440</v>
      </c>
      <c r="B211" t="s">
        <v>241</v>
      </c>
      <c r="C211" t="s">
        <v>19</v>
      </c>
      <c r="D211" s="8">
        <v>45557</v>
      </c>
      <c r="E211" t="s">
        <v>36</v>
      </c>
      <c r="F211" s="10">
        <v>15</v>
      </c>
      <c r="G211" t="s">
        <v>20</v>
      </c>
      <c r="H211" t="s">
        <v>36</v>
      </c>
      <c r="I211" s="10">
        <v>30</v>
      </c>
      <c r="J211" t="s">
        <v>36</v>
      </c>
      <c r="K211" s="10">
        <v>20</v>
      </c>
      <c r="L211" s="10">
        <v>15</v>
      </c>
      <c r="M211" s="10">
        <v>50</v>
      </c>
    </row>
    <row r="212" spans="1:13" x14ac:dyDescent="0.25">
      <c r="A212">
        <v>3441</v>
      </c>
      <c r="B212" t="s">
        <v>242</v>
      </c>
      <c r="C212" t="s">
        <v>18</v>
      </c>
      <c r="D212" s="8">
        <v>45558</v>
      </c>
      <c r="E212" t="s">
        <v>38</v>
      </c>
      <c r="F212" s="10">
        <v>10</v>
      </c>
      <c r="G212" t="s">
        <v>20</v>
      </c>
      <c r="H212" t="s">
        <v>38</v>
      </c>
      <c r="I212" t="s">
        <v>39</v>
      </c>
      <c r="J212" t="s">
        <v>36</v>
      </c>
      <c r="K212" s="10">
        <v>20</v>
      </c>
      <c r="L212" s="10">
        <v>5</v>
      </c>
      <c r="M212" s="10">
        <v>25</v>
      </c>
    </row>
    <row r="213" spans="1:13" x14ac:dyDescent="0.25">
      <c r="A213">
        <v>3442</v>
      </c>
      <c r="B213" t="s">
        <v>243</v>
      </c>
      <c r="C213" t="s">
        <v>17</v>
      </c>
      <c r="D213" s="8">
        <v>45559</v>
      </c>
      <c r="E213" t="s">
        <v>36</v>
      </c>
      <c r="F213" s="10">
        <v>5</v>
      </c>
      <c r="G213" t="s">
        <v>22</v>
      </c>
      <c r="H213" t="s">
        <v>38</v>
      </c>
      <c r="I213" t="s">
        <v>39</v>
      </c>
      <c r="J213" t="s">
        <v>38</v>
      </c>
      <c r="K213" s="10">
        <v>0</v>
      </c>
      <c r="L213" s="10">
        <v>0</v>
      </c>
      <c r="M213" s="10">
        <v>5</v>
      </c>
    </row>
    <row r="214" spans="1:13" x14ac:dyDescent="0.25">
      <c r="A214">
        <v>3443</v>
      </c>
      <c r="B214" t="s">
        <v>244</v>
      </c>
      <c r="C214" t="s">
        <v>19</v>
      </c>
      <c r="D214" s="8">
        <v>45560</v>
      </c>
      <c r="E214" t="s">
        <v>38</v>
      </c>
      <c r="F214" s="10">
        <v>15</v>
      </c>
      <c r="G214" t="s">
        <v>21</v>
      </c>
      <c r="H214" t="s">
        <v>36</v>
      </c>
      <c r="I214" s="10">
        <v>30</v>
      </c>
      <c r="J214" t="s">
        <v>36</v>
      </c>
      <c r="K214" s="10">
        <v>20</v>
      </c>
      <c r="L214" s="10">
        <v>20</v>
      </c>
      <c r="M214" s="10">
        <v>45</v>
      </c>
    </row>
    <row r="215" spans="1:13" x14ac:dyDescent="0.25">
      <c r="A215">
        <v>3444</v>
      </c>
      <c r="B215" t="s">
        <v>245</v>
      </c>
      <c r="C215" t="s">
        <v>18</v>
      </c>
      <c r="D215" s="8">
        <v>45561</v>
      </c>
      <c r="E215" t="s">
        <v>36</v>
      </c>
      <c r="F215" s="10">
        <v>10</v>
      </c>
      <c r="G215" t="s">
        <v>21</v>
      </c>
      <c r="H215" t="s">
        <v>38</v>
      </c>
      <c r="I215" t="s">
        <v>39</v>
      </c>
      <c r="J215" t="s">
        <v>36</v>
      </c>
      <c r="K215" s="10">
        <v>20</v>
      </c>
      <c r="L215" s="10">
        <v>12</v>
      </c>
      <c r="M215" s="10">
        <v>18</v>
      </c>
    </row>
    <row r="216" spans="1:13" x14ac:dyDescent="0.25">
      <c r="A216">
        <v>3445</v>
      </c>
      <c r="B216" t="s">
        <v>75</v>
      </c>
      <c r="C216" t="s">
        <v>17</v>
      </c>
      <c r="D216" s="8">
        <v>45562</v>
      </c>
      <c r="E216" t="s">
        <v>38</v>
      </c>
      <c r="F216" s="10">
        <v>5</v>
      </c>
      <c r="G216" t="s">
        <v>20</v>
      </c>
      <c r="H216" t="s">
        <v>38</v>
      </c>
      <c r="I216" t="s">
        <v>39</v>
      </c>
      <c r="J216" t="s">
        <v>38</v>
      </c>
      <c r="K216" s="10">
        <v>0</v>
      </c>
      <c r="L216" s="10">
        <v>2</v>
      </c>
      <c r="M216" s="10">
        <v>3</v>
      </c>
    </row>
    <row r="217" spans="1:13" x14ac:dyDescent="0.25">
      <c r="A217">
        <v>3446</v>
      </c>
      <c r="B217" t="s">
        <v>246</v>
      </c>
      <c r="C217" t="s">
        <v>19</v>
      </c>
      <c r="D217" s="8">
        <v>45563</v>
      </c>
      <c r="E217" t="s">
        <v>36</v>
      </c>
      <c r="F217" s="10">
        <v>15</v>
      </c>
      <c r="G217" t="s">
        <v>22</v>
      </c>
      <c r="H217" t="s">
        <v>36</v>
      </c>
      <c r="I217" s="10">
        <v>30</v>
      </c>
      <c r="J217" t="s">
        <v>36</v>
      </c>
      <c r="K217" s="10">
        <v>20</v>
      </c>
      <c r="L217" s="10">
        <v>5</v>
      </c>
      <c r="M217" s="10">
        <v>60</v>
      </c>
    </row>
    <row r="218" spans="1:13" x14ac:dyDescent="0.25">
      <c r="A218">
        <v>3447</v>
      </c>
      <c r="B218" t="s">
        <v>247</v>
      </c>
      <c r="C218" t="s">
        <v>18</v>
      </c>
      <c r="D218" s="8">
        <v>45564</v>
      </c>
      <c r="E218" t="s">
        <v>38</v>
      </c>
      <c r="F218" s="10">
        <v>10</v>
      </c>
      <c r="G218" t="s">
        <v>20</v>
      </c>
      <c r="H218" t="s">
        <v>38</v>
      </c>
      <c r="I218" t="s">
        <v>39</v>
      </c>
      <c r="J218" t="s">
        <v>36</v>
      </c>
      <c r="K218" s="10">
        <v>20</v>
      </c>
      <c r="L218" s="10">
        <v>10</v>
      </c>
      <c r="M218" s="10">
        <v>20</v>
      </c>
    </row>
    <row r="219" spans="1:13" x14ac:dyDescent="0.25">
      <c r="A219">
        <v>3448</v>
      </c>
      <c r="B219" t="s">
        <v>248</v>
      </c>
      <c r="C219" t="s">
        <v>17</v>
      </c>
      <c r="D219" s="8">
        <v>45565</v>
      </c>
      <c r="E219" t="s">
        <v>36</v>
      </c>
      <c r="F219" s="10">
        <v>5</v>
      </c>
      <c r="G219" t="s">
        <v>21</v>
      </c>
      <c r="H219" t="s">
        <v>38</v>
      </c>
      <c r="I219" t="s">
        <v>39</v>
      </c>
      <c r="J219" t="s">
        <v>38</v>
      </c>
      <c r="K219" s="10">
        <v>0</v>
      </c>
      <c r="L219" s="10">
        <v>0</v>
      </c>
      <c r="M219" s="10">
        <v>5</v>
      </c>
    </row>
    <row r="220" spans="1:13" x14ac:dyDescent="0.25">
      <c r="A220">
        <v>3449</v>
      </c>
      <c r="B220" t="s">
        <v>249</v>
      </c>
      <c r="C220" t="s">
        <v>19</v>
      </c>
      <c r="D220" s="8">
        <v>45566</v>
      </c>
      <c r="E220" t="s">
        <v>38</v>
      </c>
      <c r="F220" s="10">
        <v>15</v>
      </c>
      <c r="G220" t="s">
        <v>20</v>
      </c>
      <c r="H220" t="s">
        <v>36</v>
      </c>
      <c r="I220" s="10">
        <v>30</v>
      </c>
      <c r="J220" t="s">
        <v>36</v>
      </c>
      <c r="K220" s="10">
        <v>20</v>
      </c>
      <c r="L220" s="10">
        <v>3</v>
      </c>
      <c r="M220" s="10">
        <v>62</v>
      </c>
    </row>
    <row r="221" spans="1:13" x14ac:dyDescent="0.25">
      <c r="A221">
        <v>3450</v>
      </c>
      <c r="B221" t="s">
        <v>250</v>
      </c>
      <c r="C221" t="s">
        <v>18</v>
      </c>
      <c r="D221" s="8">
        <v>45567</v>
      </c>
      <c r="E221" t="s">
        <v>36</v>
      </c>
      <c r="F221" s="10">
        <v>10</v>
      </c>
      <c r="G221" t="s">
        <v>22</v>
      </c>
      <c r="H221" t="s">
        <v>38</v>
      </c>
      <c r="I221" t="s">
        <v>39</v>
      </c>
      <c r="J221" t="s">
        <v>36</v>
      </c>
      <c r="K221" s="10">
        <v>20</v>
      </c>
      <c r="L221" s="10">
        <v>15</v>
      </c>
      <c r="M221" s="10">
        <v>15</v>
      </c>
    </row>
    <row r="222" spans="1:13" x14ac:dyDescent="0.25">
      <c r="A222">
        <v>3451</v>
      </c>
      <c r="B222" t="s">
        <v>251</v>
      </c>
      <c r="C222" t="s">
        <v>17</v>
      </c>
      <c r="D222" s="8">
        <v>45568</v>
      </c>
      <c r="E222" t="s">
        <v>38</v>
      </c>
      <c r="F222" s="10">
        <v>5</v>
      </c>
      <c r="G222" t="s">
        <v>20</v>
      </c>
      <c r="H222" t="s">
        <v>38</v>
      </c>
      <c r="I222" t="s">
        <v>39</v>
      </c>
      <c r="J222" t="s">
        <v>38</v>
      </c>
      <c r="K222" s="10">
        <v>0</v>
      </c>
      <c r="L222" s="10">
        <v>1</v>
      </c>
      <c r="M222" s="10">
        <v>4</v>
      </c>
    </row>
    <row r="223" spans="1:13" x14ac:dyDescent="0.25">
      <c r="A223">
        <v>3452</v>
      </c>
      <c r="B223" t="s">
        <v>229</v>
      </c>
      <c r="C223" t="s">
        <v>19</v>
      </c>
      <c r="D223" s="8">
        <v>45569</v>
      </c>
      <c r="E223" t="s">
        <v>36</v>
      </c>
      <c r="F223" s="10">
        <v>15</v>
      </c>
      <c r="G223" t="s">
        <v>21</v>
      </c>
      <c r="H223" t="s">
        <v>36</v>
      </c>
      <c r="I223" s="10">
        <v>30</v>
      </c>
      <c r="J223" t="s">
        <v>36</v>
      </c>
      <c r="K223" s="10">
        <v>20</v>
      </c>
      <c r="L223" s="10">
        <v>7</v>
      </c>
      <c r="M223" s="10">
        <v>58</v>
      </c>
    </row>
    <row r="224" spans="1:13" x14ac:dyDescent="0.25">
      <c r="A224">
        <v>3453</v>
      </c>
      <c r="B224" t="s">
        <v>83</v>
      </c>
      <c r="C224" t="s">
        <v>18</v>
      </c>
      <c r="D224" s="8">
        <v>45570</v>
      </c>
      <c r="E224" t="s">
        <v>38</v>
      </c>
      <c r="F224" s="10">
        <v>10</v>
      </c>
      <c r="G224" t="s">
        <v>20</v>
      </c>
      <c r="H224" t="s">
        <v>38</v>
      </c>
      <c r="I224" t="s">
        <v>39</v>
      </c>
      <c r="J224" t="s">
        <v>36</v>
      </c>
      <c r="K224" s="10">
        <v>20</v>
      </c>
      <c r="L224" s="10">
        <v>10</v>
      </c>
      <c r="M224" s="10">
        <v>20</v>
      </c>
    </row>
    <row r="225" spans="1:13" x14ac:dyDescent="0.25">
      <c r="A225">
        <v>3454</v>
      </c>
      <c r="B225" t="s">
        <v>252</v>
      </c>
      <c r="C225" t="s">
        <v>17</v>
      </c>
      <c r="D225" s="8">
        <v>45571</v>
      </c>
      <c r="E225" t="s">
        <v>36</v>
      </c>
      <c r="F225" s="10">
        <v>5</v>
      </c>
      <c r="G225" t="s">
        <v>22</v>
      </c>
      <c r="H225" t="s">
        <v>38</v>
      </c>
      <c r="I225" t="s">
        <v>39</v>
      </c>
      <c r="J225" t="s">
        <v>38</v>
      </c>
      <c r="K225" s="10">
        <v>0</v>
      </c>
      <c r="L225" s="10">
        <v>0</v>
      </c>
      <c r="M225" s="10">
        <v>5</v>
      </c>
    </row>
    <row r="226" spans="1:13" x14ac:dyDescent="0.25">
      <c r="A226">
        <v>3455</v>
      </c>
      <c r="B226" t="s">
        <v>253</v>
      </c>
      <c r="C226" t="s">
        <v>19</v>
      </c>
      <c r="D226" s="8">
        <v>45572</v>
      </c>
      <c r="E226" t="s">
        <v>38</v>
      </c>
      <c r="F226" s="10">
        <v>15</v>
      </c>
      <c r="G226" t="s">
        <v>20</v>
      </c>
      <c r="H226" t="s">
        <v>36</v>
      </c>
      <c r="I226" s="10">
        <v>30</v>
      </c>
      <c r="J226" t="s">
        <v>36</v>
      </c>
      <c r="K226" s="10">
        <v>20</v>
      </c>
      <c r="L226" s="10">
        <v>20</v>
      </c>
      <c r="M226" s="10">
        <v>45</v>
      </c>
    </row>
    <row r="227" spans="1:13" x14ac:dyDescent="0.25">
      <c r="A227">
        <v>3456</v>
      </c>
      <c r="B227" t="s">
        <v>254</v>
      </c>
      <c r="C227" t="s">
        <v>18</v>
      </c>
      <c r="D227" s="8">
        <v>45573</v>
      </c>
      <c r="E227" t="s">
        <v>36</v>
      </c>
      <c r="F227" s="10">
        <v>10</v>
      </c>
      <c r="G227" t="s">
        <v>21</v>
      </c>
      <c r="H227" t="s">
        <v>38</v>
      </c>
      <c r="I227" t="s">
        <v>39</v>
      </c>
      <c r="J227" t="s">
        <v>36</v>
      </c>
      <c r="K227" s="10">
        <v>20</v>
      </c>
      <c r="L227" s="10">
        <v>15</v>
      </c>
      <c r="M227" s="10">
        <v>15</v>
      </c>
    </row>
    <row r="228" spans="1:13" x14ac:dyDescent="0.25">
      <c r="A228">
        <v>3457</v>
      </c>
      <c r="B228" t="s">
        <v>255</v>
      </c>
      <c r="C228" t="s">
        <v>17</v>
      </c>
      <c r="D228" s="8">
        <v>45574</v>
      </c>
      <c r="E228" t="s">
        <v>38</v>
      </c>
      <c r="F228" s="10">
        <v>5</v>
      </c>
      <c r="G228" t="s">
        <v>20</v>
      </c>
      <c r="H228" t="s">
        <v>38</v>
      </c>
      <c r="I228" t="s">
        <v>39</v>
      </c>
      <c r="J228" t="s">
        <v>38</v>
      </c>
      <c r="K228" s="10">
        <v>0</v>
      </c>
      <c r="L228" s="10">
        <v>1</v>
      </c>
      <c r="M228" s="10">
        <v>4</v>
      </c>
    </row>
    <row r="229" spans="1:13" x14ac:dyDescent="0.25">
      <c r="A229">
        <v>3458</v>
      </c>
      <c r="B229" t="s">
        <v>256</v>
      </c>
      <c r="C229" t="s">
        <v>19</v>
      </c>
      <c r="D229" s="8">
        <v>45575</v>
      </c>
      <c r="E229" t="s">
        <v>36</v>
      </c>
      <c r="F229" s="10">
        <v>15</v>
      </c>
      <c r="G229" t="s">
        <v>22</v>
      </c>
      <c r="H229" t="s">
        <v>36</v>
      </c>
      <c r="I229" s="10">
        <v>30</v>
      </c>
      <c r="J229" t="s">
        <v>36</v>
      </c>
      <c r="K229" s="10">
        <v>20</v>
      </c>
      <c r="L229" s="10">
        <v>3</v>
      </c>
      <c r="M229" s="10">
        <v>62</v>
      </c>
    </row>
    <row r="230" spans="1:13" x14ac:dyDescent="0.25">
      <c r="A230">
        <v>3459</v>
      </c>
      <c r="B230" t="s">
        <v>257</v>
      </c>
      <c r="C230" t="s">
        <v>18</v>
      </c>
      <c r="D230" s="8">
        <v>45576</v>
      </c>
      <c r="E230" t="s">
        <v>38</v>
      </c>
      <c r="F230" s="10">
        <v>10</v>
      </c>
      <c r="G230" t="s">
        <v>20</v>
      </c>
      <c r="H230" t="s">
        <v>38</v>
      </c>
      <c r="I230" t="s">
        <v>39</v>
      </c>
      <c r="J230" t="s">
        <v>36</v>
      </c>
      <c r="K230" s="10">
        <v>20</v>
      </c>
      <c r="L230" s="10">
        <v>10</v>
      </c>
      <c r="M230" s="10">
        <v>20</v>
      </c>
    </row>
    <row r="231" spans="1:13" x14ac:dyDescent="0.25">
      <c r="A231">
        <v>3460</v>
      </c>
      <c r="B231" t="s">
        <v>165</v>
      </c>
      <c r="C231" t="s">
        <v>17</v>
      </c>
      <c r="D231" s="8">
        <v>45577</v>
      </c>
      <c r="E231" t="s">
        <v>36</v>
      </c>
      <c r="F231" s="10">
        <v>5</v>
      </c>
      <c r="G231" t="s">
        <v>21</v>
      </c>
      <c r="H231" t="s">
        <v>38</v>
      </c>
      <c r="I231" t="s">
        <v>39</v>
      </c>
      <c r="J231" t="s">
        <v>38</v>
      </c>
      <c r="K231" s="10">
        <v>0</v>
      </c>
      <c r="L231" s="10">
        <v>0</v>
      </c>
      <c r="M231" s="10">
        <v>5</v>
      </c>
    </row>
    <row r="232" spans="1:13" x14ac:dyDescent="0.25">
      <c r="A232">
        <v>3461</v>
      </c>
      <c r="B232" t="s">
        <v>258</v>
      </c>
      <c r="C232" t="s">
        <v>19</v>
      </c>
      <c r="D232" s="8">
        <v>45578</v>
      </c>
      <c r="E232" t="s">
        <v>38</v>
      </c>
      <c r="F232" s="10">
        <v>15</v>
      </c>
      <c r="G232" t="s">
        <v>20</v>
      </c>
      <c r="H232" t="s">
        <v>36</v>
      </c>
      <c r="I232" s="10">
        <v>30</v>
      </c>
      <c r="J232" t="s">
        <v>36</v>
      </c>
      <c r="K232" s="10">
        <v>20</v>
      </c>
      <c r="L232" s="10">
        <v>15</v>
      </c>
      <c r="M232" s="10">
        <v>50</v>
      </c>
    </row>
    <row r="233" spans="1:13" x14ac:dyDescent="0.25">
      <c r="A233">
        <v>3462</v>
      </c>
      <c r="B233" t="s">
        <v>259</v>
      </c>
      <c r="C233" t="s">
        <v>18</v>
      </c>
      <c r="D233" s="8">
        <v>45579</v>
      </c>
      <c r="E233" t="s">
        <v>36</v>
      </c>
      <c r="F233" s="10">
        <v>10</v>
      </c>
      <c r="G233" t="s">
        <v>22</v>
      </c>
      <c r="H233" t="s">
        <v>38</v>
      </c>
      <c r="I233" t="s">
        <v>39</v>
      </c>
      <c r="J233" t="s">
        <v>36</v>
      </c>
      <c r="K233" s="10">
        <v>20</v>
      </c>
      <c r="L233" s="10">
        <v>15</v>
      </c>
      <c r="M233" s="10">
        <v>15</v>
      </c>
    </row>
    <row r="234" spans="1:13" x14ac:dyDescent="0.25">
      <c r="A234">
        <v>3463</v>
      </c>
      <c r="B234" t="s">
        <v>260</v>
      </c>
      <c r="C234" t="s">
        <v>17</v>
      </c>
      <c r="D234" s="8">
        <v>45580</v>
      </c>
      <c r="E234" t="s">
        <v>38</v>
      </c>
      <c r="F234" s="10">
        <v>5</v>
      </c>
      <c r="G234" t="s">
        <v>20</v>
      </c>
      <c r="H234" t="s">
        <v>38</v>
      </c>
      <c r="I234" t="s">
        <v>39</v>
      </c>
      <c r="J234" t="s">
        <v>38</v>
      </c>
      <c r="K234" s="10">
        <v>0</v>
      </c>
      <c r="L234" s="10">
        <v>1</v>
      </c>
      <c r="M234" s="10">
        <v>4</v>
      </c>
    </row>
    <row r="235" spans="1:13" x14ac:dyDescent="0.25">
      <c r="A235">
        <v>3464</v>
      </c>
      <c r="B235" t="s">
        <v>261</v>
      </c>
      <c r="C235" t="s">
        <v>19</v>
      </c>
      <c r="D235" s="8">
        <v>45581</v>
      </c>
      <c r="E235" t="s">
        <v>36</v>
      </c>
      <c r="F235" s="10">
        <v>15</v>
      </c>
      <c r="G235" t="s">
        <v>21</v>
      </c>
      <c r="H235" t="s">
        <v>36</v>
      </c>
      <c r="I235" s="10">
        <v>30</v>
      </c>
      <c r="J235" t="s">
        <v>36</v>
      </c>
      <c r="K235" s="10">
        <v>20</v>
      </c>
      <c r="L235" s="10">
        <v>7</v>
      </c>
      <c r="M235" s="10">
        <v>58</v>
      </c>
    </row>
    <row r="236" spans="1:13" x14ac:dyDescent="0.25">
      <c r="A236">
        <v>3465</v>
      </c>
      <c r="B236" t="s">
        <v>262</v>
      </c>
      <c r="C236" t="s">
        <v>18</v>
      </c>
      <c r="D236" s="8">
        <v>45582</v>
      </c>
      <c r="E236" t="s">
        <v>38</v>
      </c>
      <c r="F236" s="10">
        <v>10</v>
      </c>
      <c r="G236" t="s">
        <v>20</v>
      </c>
      <c r="H236" t="s">
        <v>38</v>
      </c>
      <c r="I236" t="s">
        <v>39</v>
      </c>
      <c r="J236" t="s">
        <v>36</v>
      </c>
      <c r="K236" s="10">
        <v>20</v>
      </c>
      <c r="L236" s="10">
        <v>10</v>
      </c>
      <c r="M236" s="10">
        <v>20</v>
      </c>
    </row>
    <row r="237" spans="1:13" x14ac:dyDescent="0.25">
      <c r="A237">
        <v>3466</v>
      </c>
      <c r="B237" t="s">
        <v>263</v>
      </c>
      <c r="C237" t="s">
        <v>17</v>
      </c>
      <c r="D237" s="8">
        <v>45583</v>
      </c>
      <c r="E237" t="s">
        <v>36</v>
      </c>
      <c r="F237" s="10">
        <v>5</v>
      </c>
      <c r="G237" t="s">
        <v>22</v>
      </c>
      <c r="H237" t="s">
        <v>38</v>
      </c>
      <c r="I237" t="s">
        <v>39</v>
      </c>
      <c r="J237" t="s">
        <v>38</v>
      </c>
      <c r="K237" s="10">
        <v>0</v>
      </c>
      <c r="L237" s="10">
        <v>0</v>
      </c>
      <c r="M237" s="10">
        <v>5</v>
      </c>
    </row>
    <row r="238" spans="1:13" x14ac:dyDescent="0.25">
      <c r="A238">
        <v>3467</v>
      </c>
      <c r="B238" t="s">
        <v>264</v>
      </c>
      <c r="C238" t="s">
        <v>19</v>
      </c>
      <c r="D238" s="8">
        <v>45584</v>
      </c>
      <c r="E238" t="s">
        <v>38</v>
      </c>
      <c r="F238" s="10">
        <v>15</v>
      </c>
      <c r="G238" t="s">
        <v>20</v>
      </c>
      <c r="H238" t="s">
        <v>36</v>
      </c>
      <c r="I238" s="10">
        <v>30</v>
      </c>
      <c r="J238" t="s">
        <v>36</v>
      </c>
      <c r="K238" s="10">
        <v>20</v>
      </c>
      <c r="L238" s="10">
        <v>15</v>
      </c>
      <c r="M238" s="10">
        <v>50</v>
      </c>
    </row>
    <row r="239" spans="1:13" x14ac:dyDescent="0.25">
      <c r="A239">
        <v>3468</v>
      </c>
      <c r="B239" t="s">
        <v>265</v>
      </c>
      <c r="C239" t="s">
        <v>18</v>
      </c>
      <c r="D239" s="8">
        <v>45585</v>
      </c>
      <c r="E239" t="s">
        <v>36</v>
      </c>
      <c r="F239" s="10">
        <v>10</v>
      </c>
      <c r="G239" t="s">
        <v>21</v>
      </c>
      <c r="H239" t="s">
        <v>38</v>
      </c>
      <c r="I239" t="s">
        <v>39</v>
      </c>
      <c r="J239" t="s">
        <v>36</v>
      </c>
      <c r="K239" s="10">
        <v>20</v>
      </c>
      <c r="L239" s="10">
        <v>12</v>
      </c>
      <c r="M239" s="10">
        <v>18</v>
      </c>
    </row>
    <row r="240" spans="1:13" x14ac:dyDescent="0.25">
      <c r="A240">
        <v>3469</v>
      </c>
      <c r="B240" t="s">
        <v>266</v>
      </c>
      <c r="C240" t="s">
        <v>17</v>
      </c>
      <c r="D240" s="8">
        <v>45586</v>
      </c>
      <c r="E240" t="s">
        <v>38</v>
      </c>
      <c r="F240" s="10">
        <v>5</v>
      </c>
      <c r="G240" t="s">
        <v>20</v>
      </c>
      <c r="H240" t="s">
        <v>38</v>
      </c>
      <c r="I240" t="s">
        <v>39</v>
      </c>
      <c r="J240" t="s">
        <v>38</v>
      </c>
      <c r="K240" s="10">
        <v>0</v>
      </c>
      <c r="L240" s="10">
        <v>2</v>
      </c>
      <c r="M240" s="10">
        <v>3</v>
      </c>
    </row>
    <row r="241" spans="1:13" x14ac:dyDescent="0.25">
      <c r="A241">
        <v>3470</v>
      </c>
      <c r="B241" t="s">
        <v>267</v>
      </c>
      <c r="C241" t="s">
        <v>19</v>
      </c>
      <c r="D241" s="8">
        <v>45587</v>
      </c>
      <c r="E241" t="s">
        <v>36</v>
      </c>
      <c r="F241" s="10">
        <v>15</v>
      </c>
      <c r="G241" t="s">
        <v>22</v>
      </c>
      <c r="H241" t="s">
        <v>36</v>
      </c>
      <c r="I241" s="10">
        <v>30</v>
      </c>
      <c r="J241" t="s">
        <v>36</v>
      </c>
      <c r="K241" s="10">
        <v>20</v>
      </c>
      <c r="L241" s="10">
        <v>5</v>
      </c>
      <c r="M241" s="10">
        <v>60</v>
      </c>
    </row>
    <row r="242" spans="1:13" x14ac:dyDescent="0.25">
      <c r="A242">
        <v>3471</v>
      </c>
      <c r="B242" t="s">
        <v>268</v>
      </c>
      <c r="C242" t="s">
        <v>18</v>
      </c>
      <c r="D242" s="8">
        <v>45588</v>
      </c>
      <c r="E242" t="s">
        <v>38</v>
      </c>
      <c r="F242" s="10">
        <v>10</v>
      </c>
      <c r="G242" t="s">
        <v>20</v>
      </c>
      <c r="H242" t="s">
        <v>38</v>
      </c>
      <c r="I242" t="s">
        <v>39</v>
      </c>
      <c r="J242" t="s">
        <v>36</v>
      </c>
      <c r="K242" s="10">
        <v>20</v>
      </c>
      <c r="L242" s="10">
        <v>10</v>
      </c>
      <c r="M242" s="10">
        <v>20</v>
      </c>
    </row>
    <row r="243" spans="1:13" x14ac:dyDescent="0.25">
      <c r="A243">
        <v>3472</v>
      </c>
      <c r="B243" t="s">
        <v>269</v>
      </c>
      <c r="C243" t="s">
        <v>17</v>
      </c>
      <c r="D243" s="8">
        <v>45589</v>
      </c>
      <c r="E243" t="s">
        <v>36</v>
      </c>
      <c r="F243" s="10">
        <v>5</v>
      </c>
      <c r="G243" t="s">
        <v>21</v>
      </c>
      <c r="H243" t="s">
        <v>38</v>
      </c>
      <c r="I243" t="s">
        <v>39</v>
      </c>
      <c r="J243" t="s">
        <v>38</v>
      </c>
      <c r="K243" s="10">
        <v>0</v>
      </c>
      <c r="L243" s="10">
        <v>0</v>
      </c>
      <c r="M243" s="10">
        <v>5</v>
      </c>
    </row>
    <row r="244" spans="1:13" x14ac:dyDescent="0.25">
      <c r="A244">
        <v>3473</v>
      </c>
      <c r="B244" t="s">
        <v>178</v>
      </c>
      <c r="C244" t="s">
        <v>19</v>
      </c>
      <c r="D244" s="8">
        <v>45590</v>
      </c>
      <c r="E244" t="s">
        <v>38</v>
      </c>
      <c r="F244" s="10">
        <v>15</v>
      </c>
      <c r="G244" t="s">
        <v>20</v>
      </c>
      <c r="H244" t="s">
        <v>36</v>
      </c>
      <c r="I244" s="10">
        <v>30</v>
      </c>
      <c r="J244" t="s">
        <v>36</v>
      </c>
      <c r="K244" s="10">
        <v>20</v>
      </c>
      <c r="L244" s="10">
        <v>3</v>
      </c>
      <c r="M244" s="10">
        <v>62</v>
      </c>
    </row>
    <row r="245" spans="1:13" x14ac:dyDescent="0.25">
      <c r="A245">
        <v>3474</v>
      </c>
      <c r="B245" t="s">
        <v>270</v>
      </c>
      <c r="C245" t="s">
        <v>18</v>
      </c>
      <c r="D245" s="8">
        <v>45591</v>
      </c>
      <c r="E245" t="s">
        <v>36</v>
      </c>
      <c r="F245" s="10">
        <v>10</v>
      </c>
      <c r="G245" t="s">
        <v>22</v>
      </c>
      <c r="H245" t="s">
        <v>38</v>
      </c>
      <c r="I245" t="s">
        <v>39</v>
      </c>
      <c r="J245" t="s">
        <v>36</v>
      </c>
      <c r="K245" s="10">
        <v>20</v>
      </c>
      <c r="L245" s="10">
        <v>15</v>
      </c>
      <c r="M245" s="10">
        <v>15</v>
      </c>
    </row>
    <row r="246" spans="1:13" x14ac:dyDescent="0.25">
      <c r="A246">
        <v>3475</v>
      </c>
      <c r="B246" t="s">
        <v>271</v>
      </c>
      <c r="C246" t="s">
        <v>17</v>
      </c>
      <c r="D246" s="8">
        <v>45592</v>
      </c>
      <c r="E246" t="s">
        <v>38</v>
      </c>
      <c r="F246" s="10">
        <v>5</v>
      </c>
      <c r="G246" t="s">
        <v>20</v>
      </c>
      <c r="H246" t="s">
        <v>38</v>
      </c>
      <c r="I246" t="s">
        <v>39</v>
      </c>
      <c r="J246" t="s">
        <v>38</v>
      </c>
      <c r="K246" s="10">
        <v>0</v>
      </c>
      <c r="L246" s="10">
        <v>1</v>
      </c>
      <c r="M246" s="10">
        <v>4</v>
      </c>
    </row>
    <row r="247" spans="1:13" x14ac:dyDescent="0.25">
      <c r="A247">
        <v>3476</v>
      </c>
      <c r="B247" t="s">
        <v>272</v>
      </c>
      <c r="C247" t="s">
        <v>19</v>
      </c>
      <c r="D247" s="8">
        <v>45593</v>
      </c>
      <c r="E247" t="s">
        <v>36</v>
      </c>
      <c r="F247" s="10">
        <v>15</v>
      </c>
      <c r="G247" t="s">
        <v>21</v>
      </c>
      <c r="H247" t="s">
        <v>36</v>
      </c>
      <c r="I247" s="10">
        <v>30</v>
      </c>
      <c r="J247" t="s">
        <v>36</v>
      </c>
      <c r="K247" s="10">
        <v>20</v>
      </c>
      <c r="L247" s="10">
        <v>7</v>
      </c>
      <c r="M247" s="10">
        <v>58</v>
      </c>
    </row>
    <row r="248" spans="1:13" x14ac:dyDescent="0.25">
      <c r="A248">
        <v>3477</v>
      </c>
      <c r="B248" t="s">
        <v>273</v>
      </c>
      <c r="C248" t="s">
        <v>18</v>
      </c>
      <c r="D248" s="8">
        <v>45594</v>
      </c>
      <c r="E248" t="s">
        <v>38</v>
      </c>
      <c r="F248" s="10">
        <v>10</v>
      </c>
      <c r="G248" t="s">
        <v>20</v>
      </c>
      <c r="H248" t="s">
        <v>38</v>
      </c>
      <c r="I248" t="s">
        <v>39</v>
      </c>
      <c r="J248" t="s">
        <v>36</v>
      </c>
      <c r="K248" s="10">
        <v>20</v>
      </c>
      <c r="L248" s="10">
        <v>10</v>
      </c>
      <c r="M248" s="10">
        <v>20</v>
      </c>
    </row>
    <row r="249" spans="1:13" x14ac:dyDescent="0.25">
      <c r="A249">
        <v>3478</v>
      </c>
      <c r="B249" t="s">
        <v>274</v>
      </c>
      <c r="C249" t="s">
        <v>17</v>
      </c>
      <c r="D249" s="8">
        <v>45595</v>
      </c>
      <c r="E249" t="s">
        <v>36</v>
      </c>
      <c r="F249" s="10">
        <v>5</v>
      </c>
      <c r="G249" t="s">
        <v>22</v>
      </c>
      <c r="H249" t="s">
        <v>38</v>
      </c>
      <c r="I249" t="s">
        <v>39</v>
      </c>
      <c r="J249" t="s">
        <v>38</v>
      </c>
      <c r="K249" s="10">
        <v>0</v>
      </c>
      <c r="L249" s="10">
        <v>0</v>
      </c>
      <c r="M249" s="10">
        <v>5</v>
      </c>
    </row>
    <row r="250" spans="1:13" x14ac:dyDescent="0.25">
      <c r="A250">
        <v>3479</v>
      </c>
      <c r="B250" t="s">
        <v>275</v>
      </c>
      <c r="C250" t="s">
        <v>19</v>
      </c>
      <c r="D250" s="8">
        <v>45596</v>
      </c>
      <c r="E250" t="s">
        <v>38</v>
      </c>
      <c r="F250" s="10">
        <v>15</v>
      </c>
      <c r="G250" t="s">
        <v>20</v>
      </c>
      <c r="H250" t="s">
        <v>36</v>
      </c>
      <c r="I250" s="10">
        <v>30</v>
      </c>
      <c r="J250" t="s">
        <v>36</v>
      </c>
      <c r="K250" s="10">
        <v>20</v>
      </c>
      <c r="L250" s="10">
        <v>20</v>
      </c>
      <c r="M250" s="10">
        <v>45</v>
      </c>
    </row>
    <row r="251" spans="1:13" x14ac:dyDescent="0.25">
      <c r="A251">
        <v>3480</v>
      </c>
      <c r="B251" t="s">
        <v>276</v>
      </c>
      <c r="C251" t="s">
        <v>18</v>
      </c>
      <c r="D251" s="8">
        <v>45597</v>
      </c>
      <c r="E251" t="s">
        <v>36</v>
      </c>
      <c r="F251" s="10">
        <v>10</v>
      </c>
      <c r="G251" t="s">
        <v>21</v>
      </c>
      <c r="H251" t="s">
        <v>38</v>
      </c>
      <c r="I251" t="s">
        <v>39</v>
      </c>
      <c r="J251" t="s">
        <v>36</v>
      </c>
      <c r="K251" s="10">
        <v>20</v>
      </c>
      <c r="L251" s="10">
        <v>15</v>
      </c>
      <c r="M251" s="10">
        <v>15</v>
      </c>
    </row>
    <row r="252" spans="1:13" x14ac:dyDescent="0.25">
      <c r="A252">
        <v>3481</v>
      </c>
      <c r="B252" t="s">
        <v>277</v>
      </c>
      <c r="C252" t="s">
        <v>17</v>
      </c>
      <c r="D252" s="8">
        <v>45598</v>
      </c>
      <c r="E252" t="s">
        <v>38</v>
      </c>
      <c r="F252" s="10">
        <v>5</v>
      </c>
      <c r="G252" t="s">
        <v>20</v>
      </c>
      <c r="H252" t="s">
        <v>38</v>
      </c>
      <c r="I252" t="s">
        <v>39</v>
      </c>
      <c r="J252" t="s">
        <v>38</v>
      </c>
      <c r="K252" s="10">
        <v>0</v>
      </c>
      <c r="L252" s="10">
        <v>1</v>
      </c>
      <c r="M252" s="10">
        <v>4</v>
      </c>
    </row>
    <row r="253" spans="1:13" x14ac:dyDescent="0.25">
      <c r="A253">
        <v>3482</v>
      </c>
      <c r="B253" t="s">
        <v>278</v>
      </c>
      <c r="C253" t="s">
        <v>19</v>
      </c>
      <c r="D253" s="8">
        <v>45599</v>
      </c>
      <c r="E253" t="s">
        <v>36</v>
      </c>
      <c r="F253" s="10">
        <v>15</v>
      </c>
      <c r="G253" t="s">
        <v>22</v>
      </c>
      <c r="H253" t="s">
        <v>36</v>
      </c>
      <c r="I253" s="10">
        <v>30</v>
      </c>
      <c r="J253" t="s">
        <v>36</v>
      </c>
      <c r="K253" s="10">
        <v>20</v>
      </c>
      <c r="L253" s="10">
        <v>3</v>
      </c>
      <c r="M253" s="10">
        <v>62</v>
      </c>
    </row>
    <row r="254" spans="1:13" x14ac:dyDescent="0.25">
      <c r="A254">
        <v>3483</v>
      </c>
      <c r="B254" t="s">
        <v>279</v>
      </c>
      <c r="C254" t="s">
        <v>18</v>
      </c>
      <c r="D254" s="8">
        <v>45600</v>
      </c>
      <c r="E254" t="s">
        <v>38</v>
      </c>
      <c r="F254" s="10">
        <v>10</v>
      </c>
      <c r="G254" t="s">
        <v>20</v>
      </c>
      <c r="H254" t="s">
        <v>38</v>
      </c>
      <c r="I254" t="s">
        <v>39</v>
      </c>
      <c r="J254" t="s">
        <v>36</v>
      </c>
      <c r="K254" s="10">
        <v>20</v>
      </c>
      <c r="L254" s="10">
        <v>10</v>
      </c>
      <c r="M254" s="10">
        <v>20</v>
      </c>
    </row>
    <row r="255" spans="1:13" x14ac:dyDescent="0.25">
      <c r="A255">
        <v>3484</v>
      </c>
      <c r="B255" t="s">
        <v>280</v>
      </c>
      <c r="C255" t="s">
        <v>17</v>
      </c>
      <c r="D255" s="8">
        <v>45601</v>
      </c>
      <c r="E255" t="s">
        <v>36</v>
      </c>
      <c r="F255" s="10">
        <v>5</v>
      </c>
      <c r="G255" t="s">
        <v>21</v>
      </c>
      <c r="H255" t="s">
        <v>38</v>
      </c>
      <c r="I255" t="s">
        <v>39</v>
      </c>
      <c r="J255" t="s">
        <v>38</v>
      </c>
      <c r="K255" s="10">
        <v>0</v>
      </c>
      <c r="L255" s="10">
        <v>0</v>
      </c>
      <c r="M255" s="10">
        <v>5</v>
      </c>
    </row>
    <row r="256" spans="1:13" x14ac:dyDescent="0.25">
      <c r="A256">
        <v>3485</v>
      </c>
      <c r="B256" t="s">
        <v>281</v>
      </c>
      <c r="C256" t="s">
        <v>19</v>
      </c>
      <c r="D256" s="8">
        <v>45602</v>
      </c>
      <c r="E256" t="s">
        <v>38</v>
      </c>
      <c r="F256" s="10">
        <v>15</v>
      </c>
      <c r="G256" t="s">
        <v>20</v>
      </c>
      <c r="H256" t="s">
        <v>36</v>
      </c>
      <c r="I256" s="10">
        <v>30</v>
      </c>
      <c r="J256" t="s">
        <v>36</v>
      </c>
      <c r="K256" s="10">
        <v>20</v>
      </c>
      <c r="L256" s="10">
        <v>15</v>
      </c>
      <c r="M256" s="10">
        <v>50</v>
      </c>
    </row>
    <row r="257" spans="1:13" x14ac:dyDescent="0.25">
      <c r="A257">
        <v>3486</v>
      </c>
      <c r="B257" t="s">
        <v>282</v>
      </c>
      <c r="C257" t="s">
        <v>17</v>
      </c>
      <c r="D257" s="8">
        <v>45603</v>
      </c>
      <c r="E257" t="s">
        <v>36</v>
      </c>
      <c r="F257" s="10">
        <v>5</v>
      </c>
      <c r="G257" t="s">
        <v>20</v>
      </c>
      <c r="H257" t="s">
        <v>38</v>
      </c>
      <c r="I257" t="s">
        <v>39</v>
      </c>
      <c r="J257" t="s">
        <v>38</v>
      </c>
      <c r="K257" s="10">
        <v>0</v>
      </c>
      <c r="L257" s="10">
        <v>0</v>
      </c>
      <c r="M257" s="10">
        <v>5</v>
      </c>
    </row>
    <row r="258" spans="1:13" x14ac:dyDescent="0.25">
      <c r="A258">
        <v>3487</v>
      </c>
      <c r="B258" t="s">
        <v>283</v>
      </c>
      <c r="C258" t="s">
        <v>19</v>
      </c>
      <c r="D258" s="8">
        <v>45604</v>
      </c>
      <c r="E258" t="s">
        <v>38</v>
      </c>
      <c r="F258" s="10">
        <v>15</v>
      </c>
      <c r="G258" t="s">
        <v>21</v>
      </c>
      <c r="H258" t="s">
        <v>36</v>
      </c>
      <c r="I258" s="10">
        <v>30</v>
      </c>
      <c r="J258" t="s">
        <v>36</v>
      </c>
      <c r="K258" s="10">
        <v>20</v>
      </c>
      <c r="L258" s="10">
        <v>7</v>
      </c>
      <c r="M258" s="10">
        <v>58</v>
      </c>
    </row>
    <row r="259" spans="1:13" x14ac:dyDescent="0.25">
      <c r="A259">
        <v>3488</v>
      </c>
      <c r="B259" t="s">
        <v>284</v>
      </c>
      <c r="C259" t="s">
        <v>18</v>
      </c>
      <c r="D259" s="8">
        <v>45605</v>
      </c>
      <c r="E259" t="s">
        <v>36</v>
      </c>
      <c r="F259" s="10">
        <v>10</v>
      </c>
      <c r="G259" t="s">
        <v>22</v>
      </c>
      <c r="H259" t="s">
        <v>38</v>
      </c>
      <c r="I259" t="s">
        <v>39</v>
      </c>
      <c r="J259" t="s">
        <v>36</v>
      </c>
      <c r="K259" s="10">
        <v>20</v>
      </c>
      <c r="L259" s="10">
        <v>10</v>
      </c>
      <c r="M259" s="10">
        <v>20</v>
      </c>
    </row>
    <row r="260" spans="1:13" x14ac:dyDescent="0.25">
      <c r="A260">
        <v>3489</v>
      </c>
      <c r="B260" t="s">
        <v>285</v>
      </c>
      <c r="C260" t="s">
        <v>17</v>
      </c>
      <c r="D260" s="8">
        <v>45606</v>
      </c>
      <c r="E260" t="s">
        <v>38</v>
      </c>
      <c r="F260" s="10">
        <v>5</v>
      </c>
      <c r="G260" t="s">
        <v>21</v>
      </c>
      <c r="H260" t="s">
        <v>38</v>
      </c>
      <c r="I260" t="s">
        <v>39</v>
      </c>
      <c r="J260" t="s">
        <v>38</v>
      </c>
      <c r="K260" s="10">
        <v>0</v>
      </c>
      <c r="L260" s="10">
        <v>1</v>
      </c>
      <c r="M260" s="10">
        <v>4</v>
      </c>
    </row>
    <row r="261" spans="1:13" x14ac:dyDescent="0.25">
      <c r="A261">
        <v>3490</v>
      </c>
      <c r="B261" t="s">
        <v>286</v>
      </c>
      <c r="C261" t="s">
        <v>19</v>
      </c>
      <c r="D261" s="8">
        <v>45607</v>
      </c>
      <c r="E261" t="s">
        <v>36</v>
      </c>
      <c r="F261" s="10">
        <v>15</v>
      </c>
      <c r="G261" t="s">
        <v>20</v>
      </c>
      <c r="H261" t="s">
        <v>36</v>
      </c>
      <c r="I261" s="10">
        <v>30</v>
      </c>
      <c r="J261" t="s">
        <v>36</v>
      </c>
      <c r="K261" s="10">
        <v>20</v>
      </c>
      <c r="L261" s="10">
        <v>15</v>
      </c>
      <c r="M261" s="10">
        <v>50</v>
      </c>
    </row>
    <row r="262" spans="1:13" x14ac:dyDescent="0.25">
      <c r="A262">
        <v>3491</v>
      </c>
      <c r="B262" t="s">
        <v>287</v>
      </c>
      <c r="C262" t="s">
        <v>18</v>
      </c>
      <c r="D262" s="8">
        <v>45608</v>
      </c>
      <c r="E262" t="s">
        <v>38</v>
      </c>
      <c r="F262" s="10">
        <v>10</v>
      </c>
      <c r="G262" t="s">
        <v>20</v>
      </c>
      <c r="H262" t="s">
        <v>38</v>
      </c>
      <c r="I262" t="s">
        <v>39</v>
      </c>
      <c r="J262" t="s">
        <v>36</v>
      </c>
      <c r="K262" s="10">
        <v>20</v>
      </c>
      <c r="L262" s="10">
        <v>5</v>
      </c>
      <c r="M262" s="10">
        <v>25</v>
      </c>
    </row>
    <row r="263" spans="1:13" x14ac:dyDescent="0.25">
      <c r="A263">
        <v>3492</v>
      </c>
      <c r="B263" t="s">
        <v>288</v>
      </c>
      <c r="C263" t="s">
        <v>17</v>
      </c>
      <c r="D263" s="8">
        <v>45609</v>
      </c>
      <c r="E263" t="s">
        <v>36</v>
      </c>
      <c r="F263" s="10">
        <v>5</v>
      </c>
      <c r="G263" t="s">
        <v>22</v>
      </c>
      <c r="H263" t="s">
        <v>38</v>
      </c>
      <c r="I263" t="s">
        <v>39</v>
      </c>
      <c r="J263" t="s">
        <v>38</v>
      </c>
      <c r="K263" s="10">
        <v>0</v>
      </c>
      <c r="L263" s="10">
        <v>0</v>
      </c>
      <c r="M263" s="10">
        <v>5</v>
      </c>
    </row>
    <row r="264" spans="1:13" x14ac:dyDescent="0.25">
      <c r="A264">
        <v>3493</v>
      </c>
      <c r="B264" t="s">
        <v>289</v>
      </c>
      <c r="C264" t="s">
        <v>19</v>
      </c>
      <c r="D264" s="8">
        <v>45610</v>
      </c>
      <c r="E264" t="s">
        <v>38</v>
      </c>
      <c r="F264" s="10">
        <v>15</v>
      </c>
      <c r="G264" t="s">
        <v>21</v>
      </c>
      <c r="H264" t="s">
        <v>36</v>
      </c>
      <c r="I264" s="10">
        <v>30</v>
      </c>
      <c r="J264" t="s">
        <v>36</v>
      </c>
      <c r="K264" s="10">
        <v>20</v>
      </c>
      <c r="L264" s="10">
        <v>20</v>
      </c>
      <c r="M264" s="10">
        <v>45</v>
      </c>
    </row>
    <row r="265" spans="1:13" x14ac:dyDescent="0.25">
      <c r="A265">
        <v>3494</v>
      </c>
      <c r="B265" t="s">
        <v>290</v>
      </c>
      <c r="C265" t="s">
        <v>18</v>
      </c>
      <c r="D265" s="8">
        <v>45611</v>
      </c>
      <c r="E265" t="s">
        <v>36</v>
      </c>
      <c r="F265" s="10">
        <v>10</v>
      </c>
      <c r="G265" t="s">
        <v>21</v>
      </c>
      <c r="H265" t="s">
        <v>38</v>
      </c>
      <c r="I265" t="s">
        <v>39</v>
      </c>
      <c r="J265" t="s">
        <v>36</v>
      </c>
      <c r="K265" s="10">
        <v>20</v>
      </c>
      <c r="L265" s="10">
        <v>12</v>
      </c>
      <c r="M265" s="10">
        <v>18</v>
      </c>
    </row>
    <row r="266" spans="1:13" x14ac:dyDescent="0.25">
      <c r="A266">
        <v>3495</v>
      </c>
      <c r="B266" t="s">
        <v>291</v>
      </c>
      <c r="C266" t="s">
        <v>17</v>
      </c>
      <c r="D266" s="8">
        <v>45612</v>
      </c>
      <c r="E266" t="s">
        <v>38</v>
      </c>
      <c r="F266" s="10">
        <v>5</v>
      </c>
      <c r="G266" t="s">
        <v>20</v>
      </c>
      <c r="H266" t="s">
        <v>38</v>
      </c>
      <c r="I266" t="s">
        <v>39</v>
      </c>
      <c r="J266" t="s">
        <v>38</v>
      </c>
      <c r="K266" s="10">
        <v>0</v>
      </c>
      <c r="L266" s="10">
        <v>2</v>
      </c>
      <c r="M266" s="10">
        <v>3</v>
      </c>
    </row>
    <row r="267" spans="1:13" x14ac:dyDescent="0.25">
      <c r="A267">
        <v>3496</v>
      </c>
      <c r="B267" t="s">
        <v>292</v>
      </c>
      <c r="C267" t="s">
        <v>19</v>
      </c>
      <c r="D267" s="8">
        <v>45613</v>
      </c>
      <c r="E267" t="s">
        <v>36</v>
      </c>
      <c r="F267" s="10">
        <v>15</v>
      </c>
      <c r="G267" t="s">
        <v>22</v>
      </c>
      <c r="H267" t="s">
        <v>36</v>
      </c>
      <c r="I267" s="10">
        <v>30</v>
      </c>
      <c r="J267" t="s">
        <v>36</v>
      </c>
      <c r="K267" s="10">
        <v>20</v>
      </c>
      <c r="L267" s="10">
        <v>5</v>
      </c>
      <c r="M267" s="10">
        <v>60</v>
      </c>
    </row>
    <row r="268" spans="1:13" x14ac:dyDescent="0.25">
      <c r="A268">
        <v>3497</v>
      </c>
      <c r="B268" t="s">
        <v>293</v>
      </c>
      <c r="C268" t="s">
        <v>18</v>
      </c>
      <c r="D268" s="8">
        <v>45614</v>
      </c>
      <c r="E268" t="s">
        <v>38</v>
      </c>
      <c r="F268" s="10">
        <v>10</v>
      </c>
      <c r="G268" t="s">
        <v>20</v>
      </c>
      <c r="H268" t="s">
        <v>38</v>
      </c>
      <c r="I268" t="s">
        <v>39</v>
      </c>
      <c r="J268" t="s">
        <v>36</v>
      </c>
      <c r="K268" s="10">
        <v>20</v>
      </c>
      <c r="L268" s="10">
        <v>10</v>
      </c>
      <c r="M268" s="10">
        <v>20</v>
      </c>
    </row>
    <row r="269" spans="1:13" x14ac:dyDescent="0.25">
      <c r="A269">
        <v>3498</v>
      </c>
      <c r="B269" t="s">
        <v>294</v>
      </c>
      <c r="C269" t="s">
        <v>17</v>
      </c>
      <c r="D269" s="8">
        <v>45615</v>
      </c>
      <c r="E269" t="s">
        <v>36</v>
      </c>
      <c r="F269" s="10">
        <v>5</v>
      </c>
      <c r="G269" t="s">
        <v>21</v>
      </c>
      <c r="H269" t="s">
        <v>38</v>
      </c>
      <c r="I269" t="s">
        <v>39</v>
      </c>
      <c r="J269" t="s">
        <v>38</v>
      </c>
      <c r="K269" s="10">
        <v>0</v>
      </c>
      <c r="L269" s="10">
        <v>0</v>
      </c>
      <c r="M269" s="10">
        <v>5</v>
      </c>
    </row>
    <row r="270" spans="1:13" x14ac:dyDescent="0.25">
      <c r="A270">
        <v>3499</v>
      </c>
      <c r="B270" t="s">
        <v>295</v>
      </c>
      <c r="C270" t="s">
        <v>19</v>
      </c>
      <c r="D270" s="8">
        <v>45616</v>
      </c>
      <c r="E270" t="s">
        <v>38</v>
      </c>
      <c r="F270" s="10">
        <v>15</v>
      </c>
      <c r="G270" t="s">
        <v>20</v>
      </c>
      <c r="H270" t="s">
        <v>36</v>
      </c>
      <c r="I270" s="10">
        <v>30</v>
      </c>
      <c r="J270" t="s">
        <v>36</v>
      </c>
      <c r="K270" s="10">
        <v>20</v>
      </c>
      <c r="L270" s="10">
        <v>3</v>
      </c>
      <c r="M270" s="10">
        <v>62</v>
      </c>
    </row>
    <row r="271" spans="1:13" x14ac:dyDescent="0.25">
      <c r="A271">
        <v>3500</v>
      </c>
      <c r="B271" t="s">
        <v>296</v>
      </c>
      <c r="C271" t="s">
        <v>18</v>
      </c>
      <c r="D271" s="8">
        <v>45617</v>
      </c>
      <c r="E271" t="s">
        <v>36</v>
      </c>
      <c r="F271" s="10">
        <v>10</v>
      </c>
      <c r="G271" t="s">
        <v>22</v>
      </c>
      <c r="H271" t="s">
        <v>38</v>
      </c>
      <c r="I271" t="s">
        <v>39</v>
      </c>
      <c r="J271" t="s">
        <v>36</v>
      </c>
      <c r="K271" s="10">
        <v>20</v>
      </c>
      <c r="L271" s="10">
        <v>15</v>
      </c>
      <c r="M271" s="10">
        <v>15</v>
      </c>
    </row>
    <row r="272" spans="1:13" x14ac:dyDescent="0.25">
      <c r="A272">
        <v>3501</v>
      </c>
      <c r="B272" t="s">
        <v>297</v>
      </c>
      <c r="C272" t="s">
        <v>17</v>
      </c>
      <c r="D272" s="8">
        <v>45618</v>
      </c>
      <c r="E272" t="s">
        <v>38</v>
      </c>
      <c r="F272" s="10">
        <v>5</v>
      </c>
      <c r="G272" t="s">
        <v>20</v>
      </c>
      <c r="H272" t="s">
        <v>38</v>
      </c>
      <c r="I272" t="s">
        <v>39</v>
      </c>
      <c r="J272" t="s">
        <v>38</v>
      </c>
      <c r="K272" s="10">
        <v>0</v>
      </c>
      <c r="L272" s="10">
        <v>1</v>
      </c>
      <c r="M272" s="10">
        <v>4</v>
      </c>
    </row>
    <row r="273" spans="1:13" x14ac:dyDescent="0.25">
      <c r="A273">
        <v>3502</v>
      </c>
      <c r="B273" t="s">
        <v>298</v>
      </c>
      <c r="C273" t="s">
        <v>19</v>
      </c>
      <c r="D273" s="8">
        <v>45619</v>
      </c>
      <c r="E273" t="s">
        <v>36</v>
      </c>
      <c r="F273" s="10">
        <v>15</v>
      </c>
      <c r="G273" t="s">
        <v>21</v>
      </c>
      <c r="H273" t="s">
        <v>36</v>
      </c>
      <c r="I273" s="10">
        <v>30</v>
      </c>
      <c r="J273" t="s">
        <v>36</v>
      </c>
      <c r="K273" s="10">
        <v>20</v>
      </c>
      <c r="L273" s="10">
        <v>7</v>
      </c>
      <c r="M273" s="10">
        <v>58</v>
      </c>
    </row>
    <row r="274" spans="1:13" x14ac:dyDescent="0.25">
      <c r="A274">
        <v>3503</v>
      </c>
      <c r="B274" t="s">
        <v>157</v>
      </c>
      <c r="C274" t="s">
        <v>18</v>
      </c>
      <c r="D274" s="8">
        <v>45620</v>
      </c>
      <c r="E274" t="s">
        <v>38</v>
      </c>
      <c r="F274" s="10">
        <v>10</v>
      </c>
      <c r="G274" t="s">
        <v>20</v>
      </c>
      <c r="H274" t="s">
        <v>38</v>
      </c>
      <c r="I274" t="s">
        <v>39</v>
      </c>
      <c r="J274" t="s">
        <v>36</v>
      </c>
      <c r="K274" s="10">
        <v>20</v>
      </c>
      <c r="L274" s="10">
        <v>10</v>
      </c>
      <c r="M274" s="10">
        <v>20</v>
      </c>
    </row>
    <row r="275" spans="1:13" x14ac:dyDescent="0.25">
      <c r="A275">
        <v>3504</v>
      </c>
      <c r="B275" t="s">
        <v>299</v>
      </c>
      <c r="C275" t="s">
        <v>17</v>
      </c>
      <c r="D275" s="8">
        <v>45621</v>
      </c>
      <c r="E275" t="s">
        <v>36</v>
      </c>
      <c r="F275" s="10">
        <v>5</v>
      </c>
      <c r="G275" t="s">
        <v>22</v>
      </c>
      <c r="H275" t="s">
        <v>38</v>
      </c>
      <c r="I275" t="s">
        <v>39</v>
      </c>
      <c r="J275" t="s">
        <v>38</v>
      </c>
      <c r="K275" s="10">
        <v>0</v>
      </c>
      <c r="L275" s="10">
        <v>0</v>
      </c>
      <c r="M275" s="10">
        <v>5</v>
      </c>
    </row>
    <row r="276" spans="1:13" x14ac:dyDescent="0.25">
      <c r="A276">
        <v>3505</v>
      </c>
      <c r="B276" t="s">
        <v>300</v>
      </c>
      <c r="C276" t="s">
        <v>19</v>
      </c>
      <c r="D276" s="8">
        <v>45622</v>
      </c>
      <c r="E276" t="s">
        <v>38</v>
      </c>
      <c r="F276" s="10">
        <v>15</v>
      </c>
      <c r="G276" t="s">
        <v>20</v>
      </c>
      <c r="H276" t="s">
        <v>36</v>
      </c>
      <c r="I276" s="10">
        <v>30</v>
      </c>
      <c r="J276" t="s">
        <v>36</v>
      </c>
      <c r="K276" s="10">
        <v>20</v>
      </c>
      <c r="L276" s="10">
        <v>20</v>
      </c>
      <c r="M276" s="10">
        <v>45</v>
      </c>
    </row>
    <row r="277" spans="1:13" x14ac:dyDescent="0.25">
      <c r="A277">
        <v>3506</v>
      </c>
      <c r="B277" t="s">
        <v>301</v>
      </c>
      <c r="C277" t="s">
        <v>18</v>
      </c>
      <c r="D277" s="8">
        <v>45623</v>
      </c>
      <c r="E277" t="s">
        <v>36</v>
      </c>
      <c r="F277" s="10">
        <v>10</v>
      </c>
      <c r="G277" t="s">
        <v>21</v>
      </c>
      <c r="H277" t="s">
        <v>38</v>
      </c>
      <c r="I277" t="s">
        <v>39</v>
      </c>
      <c r="J277" t="s">
        <v>36</v>
      </c>
      <c r="K277" s="10">
        <v>20</v>
      </c>
      <c r="L277" s="10">
        <v>15</v>
      </c>
      <c r="M277" s="10">
        <v>15</v>
      </c>
    </row>
    <row r="278" spans="1:13" x14ac:dyDescent="0.25">
      <c r="A278">
        <v>3507</v>
      </c>
      <c r="B278" t="s">
        <v>302</v>
      </c>
      <c r="C278" t="s">
        <v>17</v>
      </c>
      <c r="D278" s="8">
        <v>45624</v>
      </c>
      <c r="E278" t="s">
        <v>38</v>
      </c>
      <c r="F278" s="10">
        <v>5</v>
      </c>
      <c r="G278" t="s">
        <v>20</v>
      </c>
      <c r="H278" t="s">
        <v>38</v>
      </c>
      <c r="I278" t="s">
        <v>39</v>
      </c>
      <c r="J278" t="s">
        <v>38</v>
      </c>
      <c r="K278" s="10">
        <v>0</v>
      </c>
      <c r="L278" s="10">
        <v>1</v>
      </c>
      <c r="M278" s="10">
        <v>4</v>
      </c>
    </row>
    <row r="279" spans="1:13" x14ac:dyDescent="0.25">
      <c r="A279">
        <v>3508</v>
      </c>
      <c r="B279" t="s">
        <v>303</v>
      </c>
      <c r="C279" t="s">
        <v>19</v>
      </c>
      <c r="D279" s="8">
        <v>45625</v>
      </c>
      <c r="E279" t="s">
        <v>36</v>
      </c>
      <c r="F279" s="10">
        <v>15</v>
      </c>
      <c r="G279" t="s">
        <v>22</v>
      </c>
      <c r="H279" t="s">
        <v>36</v>
      </c>
      <c r="I279" s="10">
        <v>30</v>
      </c>
      <c r="J279" t="s">
        <v>36</v>
      </c>
      <c r="K279" s="10">
        <v>20</v>
      </c>
      <c r="L279" s="10">
        <v>3</v>
      </c>
      <c r="M279" s="10">
        <v>62</v>
      </c>
    </row>
    <row r="280" spans="1:13" x14ac:dyDescent="0.25">
      <c r="A280">
        <v>3509</v>
      </c>
      <c r="B280" t="s">
        <v>304</v>
      </c>
      <c r="C280" t="s">
        <v>18</v>
      </c>
      <c r="D280" s="8">
        <v>45626</v>
      </c>
      <c r="E280" t="s">
        <v>38</v>
      </c>
      <c r="F280" s="10">
        <v>10</v>
      </c>
      <c r="G280" t="s">
        <v>20</v>
      </c>
      <c r="H280" t="s">
        <v>38</v>
      </c>
      <c r="I280" t="s">
        <v>39</v>
      </c>
      <c r="J280" t="s">
        <v>36</v>
      </c>
      <c r="K280" s="10">
        <v>20</v>
      </c>
      <c r="L280" s="10">
        <v>10</v>
      </c>
      <c r="M280" s="10">
        <v>20</v>
      </c>
    </row>
    <row r="281" spans="1:13" x14ac:dyDescent="0.25">
      <c r="A281">
        <v>3510</v>
      </c>
      <c r="B281" t="s">
        <v>305</v>
      </c>
      <c r="C281" t="s">
        <v>17</v>
      </c>
      <c r="D281" s="8">
        <v>45627</v>
      </c>
      <c r="E281" t="s">
        <v>36</v>
      </c>
      <c r="F281" s="10">
        <v>5</v>
      </c>
      <c r="G281" t="s">
        <v>21</v>
      </c>
      <c r="H281" t="s">
        <v>38</v>
      </c>
      <c r="I281" t="s">
        <v>39</v>
      </c>
      <c r="J281" t="s">
        <v>38</v>
      </c>
      <c r="K281" s="10">
        <v>0</v>
      </c>
      <c r="L281" s="10">
        <v>0</v>
      </c>
      <c r="M281" s="10">
        <v>5</v>
      </c>
    </row>
    <row r="282" spans="1:13" x14ac:dyDescent="0.25">
      <c r="A282">
        <v>3511</v>
      </c>
      <c r="B282" t="s">
        <v>306</v>
      </c>
      <c r="C282" t="s">
        <v>19</v>
      </c>
      <c r="D282" s="8">
        <v>45628</v>
      </c>
      <c r="E282" t="s">
        <v>38</v>
      </c>
      <c r="F282" s="10">
        <v>15</v>
      </c>
      <c r="G282" t="s">
        <v>20</v>
      </c>
      <c r="H282" t="s">
        <v>36</v>
      </c>
      <c r="I282" s="10">
        <v>30</v>
      </c>
      <c r="J282" t="s">
        <v>36</v>
      </c>
      <c r="K282" s="10">
        <v>20</v>
      </c>
      <c r="L282" s="10">
        <v>15</v>
      </c>
      <c r="M282" s="10">
        <v>50</v>
      </c>
    </row>
    <row r="283" spans="1:13" x14ac:dyDescent="0.25">
      <c r="A283">
        <v>3512</v>
      </c>
      <c r="B283" t="s">
        <v>307</v>
      </c>
      <c r="C283" t="s">
        <v>18</v>
      </c>
      <c r="D283" s="8">
        <v>45629</v>
      </c>
      <c r="E283" t="s">
        <v>36</v>
      </c>
      <c r="F283" s="10">
        <v>10</v>
      </c>
      <c r="G283" t="s">
        <v>22</v>
      </c>
      <c r="H283" t="s">
        <v>38</v>
      </c>
      <c r="I283" t="s">
        <v>39</v>
      </c>
      <c r="J283" t="s">
        <v>36</v>
      </c>
      <c r="K283" s="10">
        <v>20</v>
      </c>
      <c r="L283" s="10">
        <v>15</v>
      </c>
      <c r="M283" s="10">
        <v>15</v>
      </c>
    </row>
    <row r="284" spans="1:13" x14ac:dyDescent="0.25">
      <c r="A284">
        <v>3513</v>
      </c>
      <c r="B284" t="s">
        <v>308</v>
      </c>
      <c r="C284" t="s">
        <v>17</v>
      </c>
      <c r="D284" s="8">
        <v>45630</v>
      </c>
      <c r="E284" t="s">
        <v>38</v>
      </c>
      <c r="F284" s="10">
        <v>5</v>
      </c>
      <c r="G284" t="s">
        <v>20</v>
      </c>
      <c r="H284" t="s">
        <v>38</v>
      </c>
      <c r="I284" t="s">
        <v>39</v>
      </c>
      <c r="J284" t="s">
        <v>38</v>
      </c>
      <c r="K284" s="10">
        <v>0</v>
      </c>
      <c r="L284" s="10">
        <v>1</v>
      </c>
      <c r="M284" s="10">
        <v>4</v>
      </c>
    </row>
    <row r="285" spans="1:13" x14ac:dyDescent="0.25">
      <c r="A285">
        <v>3514</v>
      </c>
      <c r="B285" t="s">
        <v>309</v>
      </c>
      <c r="C285" t="s">
        <v>19</v>
      </c>
      <c r="D285" s="8">
        <v>45631</v>
      </c>
      <c r="E285" t="s">
        <v>36</v>
      </c>
      <c r="F285" s="10">
        <v>15</v>
      </c>
      <c r="G285" t="s">
        <v>21</v>
      </c>
      <c r="H285" t="s">
        <v>36</v>
      </c>
      <c r="I285" s="10">
        <v>30</v>
      </c>
      <c r="J285" t="s">
        <v>36</v>
      </c>
      <c r="K285" s="10">
        <v>20</v>
      </c>
      <c r="L285" s="10">
        <v>7</v>
      </c>
      <c r="M285" s="10">
        <v>58</v>
      </c>
    </row>
    <row r="286" spans="1:13" x14ac:dyDescent="0.25">
      <c r="A286">
        <v>3515</v>
      </c>
      <c r="B286" t="s">
        <v>168</v>
      </c>
      <c r="C286" t="s">
        <v>18</v>
      </c>
      <c r="D286" s="8">
        <v>45632</v>
      </c>
      <c r="E286" t="s">
        <v>38</v>
      </c>
      <c r="F286" s="10">
        <v>10</v>
      </c>
      <c r="G286" t="s">
        <v>20</v>
      </c>
      <c r="H286" t="s">
        <v>38</v>
      </c>
      <c r="I286" t="s">
        <v>39</v>
      </c>
      <c r="J286" t="s">
        <v>36</v>
      </c>
      <c r="K286" s="10">
        <v>20</v>
      </c>
      <c r="L286" s="10">
        <v>10</v>
      </c>
      <c r="M286" s="10">
        <v>20</v>
      </c>
    </row>
    <row r="287" spans="1:13" x14ac:dyDescent="0.25">
      <c r="A287">
        <v>3516</v>
      </c>
      <c r="B287" t="s">
        <v>169</v>
      </c>
      <c r="C287" t="s">
        <v>17</v>
      </c>
      <c r="D287" s="8">
        <v>45633</v>
      </c>
      <c r="E287" t="s">
        <v>36</v>
      </c>
      <c r="F287" s="10">
        <v>5</v>
      </c>
      <c r="G287" t="s">
        <v>22</v>
      </c>
      <c r="H287" t="s">
        <v>38</v>
      </c>
      <c r="I287" t="s">
        <v>39</v>
      </c>
      <c r="J287" t="s">
        <v>38</v>
      </c>
      <c r="K287" s="10">
        <v>0</v>
      </c>
      <c r="L287" s="10">
        <v>0</v>
      </c>
      <c r="M287" s="10">
        <v>5</v>
      </c>
    </row>
    <row r="288" spans="1:13" x14ac:dyDescent="0.25">
      <c r="A288">
        <v>3517</v>
      </c>
      <c r="B288" t="s">
        <v>219</v>
      </c>
      <c r="C288" t="s">
        <v>19</v>
      </c>
      <c r="D288" s="8">
        <v>45634</v>
      </c>
      <c r="E288" t="s">
        <v>38</v>
      </c>
      <c r="F288" s="10">
        <v>15</v>
      </c>
      <c r="G288" t="s">
        <v>20</v>
      </c>
      <c r="H288" t="s">
        <v>36</v>
      </c>
      <c r="I288" s="10">
        <v>30</v>
      </c>
      <c r="J288" t="s">
        <v>36</v>
      </c>
      <c r="K288" s="10">
        <v>20</v>
      </c>
      <c r="L288" s="10">
        <v>20</v>
      </c>
      <c r="M288" s="10">
        <v>45</v>
      </c>
    </row>
    <row r="289" spans="1:13" x14ac:dyDescent="0.25">
      <c r="A289">
        <v>3518</v>
      </c>
      <c r="B289" t="s">
        <v>310</v>
      </c>
      <c r="C289" t="s">
        <v>18</v>
      </c>
      <c r="D289" s="8">
        <v>45635</v>
      </c>
      <c r="E289" t="s">
        <v>36</v>
      </c>
      <c r="F289" s="10">
        <v>10</v>
      </c>
      <c r="G289" t="s">
        <v>21</v>
      </c>
      <c r="H289" t="s">
        <v>38</v>
      </c>
      <c r="I289" t="s">
        <v>39</v>
      </c>
      <c r="J289" t="s">
        <v>36</v>
      </c>
      <c r="K289" s="10">
        <v>20</v>
      </c>
      <c r="L289" s="10">
        <v>12</v>
      </c>
      <c r="M289" s="10">
        <v>18</v>
      </c>
    </row>
    <row r="290" spans="1:13" x14ac:dyDescent="0.25">
      <c r="A290">
        <v>3519</v>
      </c>
      <c r="B290" t="s">
        <v>311</v>
      </c>
      <c r="C290" t="s">
        <v>17</v>
      </c>
      <c r="D290" s="8">
        <v>45636</v>
      </c>
      <c r="E290" t="s">
        <v>38</v>
      </c>
      <c r="F290" s="10">
        <v>5</v>
      </c>
      <c r="G290" t="s">
        <v>20</v>
      </c>
      <c r="H290" t="s">
        <v>38</v>
      </c>
      <c r="I290" t="s">
        <v>39</v>
      </c>
      <c r="J290" t="s">
        <v>38</v>
      </c>
      <c r="K290" s="10">
        <v>0</v>
      </c>
      <c r="L290" s="10">
        <v>2</v>
      </c>
      <c r="M290" s="10">
        <v>3</v>
      </c>
    </row>
    <row r="291" spans="1:13" x14ac:dyDescent="0.25">
      <c r="A291">
        <v>3520</v>
      </c>
      <c r="B291" t="s">
        <v>312</v>
      </c>
      <c r="C291" t="s">
        <v>19</v>
      </c>
      <c r="D291" s="8">
        <v>45637</v>
      </c>
      <c r="E291" t="s">
        <v>36</v>
      </c>
      <c r="F291" s="10">
        <v>15</v>
      </c>
      <c r="G291" t="s">
        <v>22</v>
      </c>
      <c r="H291" t="s">
        <v>36</v>
      </c>
      <c r="I291" s="10">
        <v>30</v>
      </c>
      <c r="J291" t="s">
        <v>36</v>
      </c>
      <c r="K291" s="10">
        <v>20</v>
      </c>
      <c r="L291" s="10">
        <v>5</v>
      </c>
      <c r="M291" s="10">
        <v>60</v>
      </c>
    </row>
    <row r="292" spans="1:13" x14ac:dyDescent="0.25">
      <c r="A292">
        <v>3521</v>
      </c>
      <c r="B292" t="s">
        <v>313</v>
      </c>
      <c r="C292" t="s">
        <v>18</v>
      </c>
      <c r="D292" s="8">
        <v>45638</v>
      </c>
      <c r="E292" t="s">
        <v>38</v>
      </c>
      <c r="F292" s="10">
        <v>10</v>
      </c>
      <c r="G292" t="s">
        <v>20</v>
      </c>
      <c r="H292" t="s">
        <v>38</v>
      </c>
      <c r="I292" t="s">
        <v>39</v>
      </c>
      <c r="J292" t="s">
        <v>36</v>
      </c>
      <c r="K292" s="10">
        <v>20</v>
      </c>
      <c r="L292" s="10">
        <v>10</v>
      </c>
      <c r="M292" s="10">
        <v>20</v>
      </c>
    </row>
    <row r="293" spans="1:13" x14ac:dyDescent="0.25">
      <c r="A293">
        <v>3522</v>
      </c>
      <c r="B293" t="s">
        <v>314</v>
      </c>
      <c r="C293" t="s">
        <v>17</v>
      </c>
      <c r="D293" s="8">
        <v>45639</v>
      </c>
      <c r="E293" t="s">
        <v>36</v>
      </c>
      <c r="F293" s="10">
        <v>5</v>
      </c>
      <c r="G293" t="s">
        <v>21</v>
      </c>
      <c r="H293" t="s">
        <v>38</v>
      </c>
      <c r="I293" t="s">
        <v>39</v>
      </c>
      <c r="J293" t="s">
        <v>38</v>
      </c>
      <c r="K293" s="10">
        <v>0</v>
      </c>
      <c r="L293" s="10">
        <v>0</v>
      </c>
      <c r="M293" s="10">
        <v>5</v>
      </c>
    </row>
    <row r="294" spans="1:13" x14ac:dyDescent="0.25">
      <c r="A294">
        <v>3523</v>
      </c>
      <c r="B294" t="s">
        <v>315</v>
      </c>
      <c r="C294" t="s">
        <v>19</v>
      </c>
      <c r="D294" s="8">
        <v>45640</v>
      </c>
      <c r="E294" t="s">
        <v>38</v>
      </c>
      <c r="F294" s="10">
        <v>15</v>
      </c>
      <c r="G294" t="s">
        <v>20</v>
      </c>
      <c r="H294" t="s">
        <v>36</v>
      </c>
      <c r="I294" s="10">
        <v>30</v>
      </c>
      <c r="J294" t="s">
        <v>36</v>
      </c>
      <c r="K294" s="10">
        <v>20</v>
      </c>
      <c r="L294" s="10">
        <v>3</v>
      </c>
      <c r="M294" s="10">
        <v>62</v>
      </c>
    </row>
    <row r="295" spans="1:13" x14ac:dyDescent="0.25">
      <c r="A295">
        <v>3524</v>
      </c>
      <c r="B295" t="s">
        <v>316</v>
      </c>
      <c r="C295" t="s">
        <v>18</v>
      </c>
      <c r="D295" s="8">
        <v>45641</v>
      </c>
      <c r="E295" t="s">
        <v>36</v>
      </c>
      <c r="F295" s="10">
        <v>10</v>
      </c>
      <c r="G295" t="s">
        <v>22</v>
      </c>
      <c r="H295" t="s">
        <v>38</v>
      </c>
      <c r="I295" t="s">
        <v>39</v>
      </c>
      <c r="J295" t="s">
        <v>36</v>
      </c>
      <c r="K295" s="10">
        <v>20</v>
      </c>
      <c r="L295" s="10">
        <v>15</v>
      </c>
      <c r="M295" s="10">
        <v>15</v>
      </c>
    </row>
    <row r="296" spans="1:13" x14ac:dyDescent="0.25">
      <c r="A296">
        <v>3525</v>
      </c>
      <c r="B296" t="s">
        <v>317</v>
      </c>
      <c r="C296" t="s">
        <v>17</v>
      </c>
      <c r="D296" s="8">
        <v>45642</v>
      </c>
      <c r="E296" t="s">
        <v>38</v>
      </c>
      <c r="F296" s="10">
        <v>5</v>
      </c>
      <c r="G296" t="s">
        <v>20</v>
      </c>
      <c r="H296" t="s">
        <v>38</v>
      </c>
      <c r="I296" t="s">
        <v>39</v>
      </c>
      <c r="J296" t="s">
        <v>38</v>
      </c>
      <c r="K296" s="10">
        <v>0</v>
      </c>
      <c r="L296" s="10">
        <v>1</v>
      </c>
      <c r="M296" s="10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Calculos</vt:lpstr>
      <vt:lpstr>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2026-10-08T19:15:59Z</dcterms:created>
  <dcterms:modified xsi:type="dcterms:W3CDTF">2026-10-09T17:41:59Z</dcterms:modified>
</cp:coreProperties>
</file>